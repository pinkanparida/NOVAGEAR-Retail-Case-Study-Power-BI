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SQ\DA\Immarticus\Case Study\"/>
    </mc:Choice>
  </mc:AlternateContent>
  <xr:revisionPtr revIDLastSave="0" documentId="13_ncr:1_{8B57F9DD-096D-40A9-852A-7773365B43C9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Customers" sheetId="1" r:id="rId1"/>
    <sheet name="Products" sheetId="2" r:id="rId2"/>
    <sheet name="Exchange Rates" sheetId="7" r:id="rId3"/>
    <sheet name="Stores" sheetId="3" r:id="rId4"/>
    <sheet name="Orders" sheetId="5" r:id="rId5"/>
    <sheet name="OrderLines" sheetId="6" r:id="rId6"/>
  </sheets>
  <definedNames>
    <definedName name="_xlnm._FilterDatabase" localSheetId="0" hidden="1">Customers!$A$1:$G$27</definedName>
    <definedName name="_xlnm._FilterDatabase" localSheetId="5" hidden="1">OrderLines!$A$1:$G$102</definedName>
    <definedName name="_xlnm._FilterDatabase" localSheetId="4" hidden="1">Orders!$A$1:$H$51</definedName>
    <definedName name="_xlnm._FilterDatabase" localSheetId="1" hidden="1">Products!$A$1:$G$27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6" l="1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2" i="6"/>
</calcChain>
</file>

<file path=xl/sharedStrings.xml><?xml version="1.0" encoding="utf-8"?>
<sst xmlns="http://schemas.openxmlformats.org/spreadsheetml/2006/main" count="1349" uniqueCount="595">
  <si>
    <t>CustomerID</t>
  </si>
  <si>
    <t>FullName</t>
  </si>
  <si>
    <t>Email</t>
  </si>
  <si>
    <t>Phone</t>
  </si>
  <si>
    <t>Address</t>
  </si>
  <si>
    <t>SignupDate</t>
  </si>
  <si>
    <t>LoyaltyTier</t>
  </si>
  <si>
    <t>C-0001</t>
  </si>
  <si>
    <t>C-0002</t>
  </si>
  <si>
    <t>C-0003</t>
  </si>
  <si>
    <t>C-0004</t>
  </si>
  <si>
    <t>C-0005</t>
  </si>
  <si>
    <t>C-0006</t>
  </si>
  <si>
    <t>C-0007</t>
  </si>
  <si>
    <t>C-0008</t>
  </si>
  <si>
    <t>C-0009</t>
  </si>
  <si>
    <t>C-0010</t>
  </si>
  <si>
    <t>C-0011</t>
  </si>
  <si>
    <t>C-0012</t>
  </si>
  <si>
    <t>C-0013</t>
  </si>
  <si>
    <t>C-0014</t>
  </si>
  <si>
    <t>C-0015</t>
  </si>
  <si>
    <t>C-0016</t>
  </si>
  <si>
    <t>C-0017</t>
  </si>
  <si>
    <t>C-0018</t>
  </si>
  <si>
    <t>C-0019</t>
  </si>
  <si>
    <t>C-0020</t>
  </si>
  <si>
    <t>C-0021</t>
  </si>
  <si>
    <t>C-0022</t>
  </si>
  <si>
    <t>C-0023</t>
  </si>
  <si>
    <t>C-0024</t>
  </si>
  <si>
    <t>C-0025</t>
  </si>
  <si>
    <t xml:space="preserve">Smith, John </t>
  </si>
  <si>
    <t xml:space="preserve">  Garcia, Ana</t>
  </si>
  <si>
    <t>O'Neil,   Pat</t>
  </si>
  <si>
    <t>Zhang,  Wei</t>
  </si>
  <si>
    <t>Di Franco, Luca</t>
  </si>
  <si>
    <t>Santos, Maria</t>
  </si>
  <si>
    <t>Ivanov, Olga</t>
  </si>
  <si>
    <t>Khan, Aisha</t>
  </si>
  <si>
    <t>Nguyen, Minh</t>
  </si>
  <si>
    <t xml:space="preserve">  Müller, Franz</t>
  </si>
  <si>
    <t>Chen, Li</t>
  </si>
  <si>
    <t>Ali  , Omar</t>
  </si>
  <si>
    <t>Rossi,  Giulia</t>
  </si>
  <si>
    <t>Silva, Pedro</t>
  </si>
  <si>
    <t>Yamada,  Kenji</t>
  </si>
  <si>
    <t>Doe, Jane</t>
  </si>
  <si>
    <t>Lee,  Sara</t>
  </si>
  <si>
    <t>Kim,  Jin</t>
  </si>
  <si>
    <t>Singh,  Raj</t>
  </si>
  <si>
    <t>Kowalski,  Piotr</t>
  </si>
  <si>
    <t>Novák,  Eva</t>
  </si>
  <si>
    <t>Hernández, Luis</t>
  </si>
  <si>
    <t>Popescu, Andrei</t>
  </si>
  <si>
    <t>Ndiaye, Awa</t>
  </si>
  <si>
    <t>Hassan,   Noor</t>
  </si>
  <si>
    <t>john.smith@example.com</t>
  </si>
  <si>
    <t>ana.garcia at example.com</t>
  </si>
  <si>
    <t>pat.oneil@example</t>
  </si>
  <si>
    <t>wei.zhang@example.com</t>
  </si>
  <si>
    <t>luca.difranco@example.com</t>
  </si>
  <si>
    <t>olga.ivanov@example.com</t>
  </si>
  <si>
    <t>aisha.khan@example</t>
  </si>
  <si>
    <t>franz.muller@example.com</t>
  </si>
  <si>
    <t>li.chen@example.com</t>
  </si>
  <si>
    <t>omar.ali@example.com</t>
  </si>
  <si>
    <t>pedro.silva@example.com</t>
  </si>
  <si>
    <t>kenji.yamada@example.com</t>
  </si>
  <si>
    <t>jane.doe@example.com</t>
  </si>
  <si>
    <t>sara.lee@example.com</t>
  </si>
  <si>
    <t>raj.singh@example.com</t>
  </si>
  <si>
    <t>piotr.k@example.com</t>
  </si>
  <si>
    <t>luis.hdz@example.com</t>
  </si>
  <si>
    <t>andrei.popescu@example.com</t>
  </si>
  <si>
    <t>noor.hassan@example.com</t>
  </si>
  <si>
    <t>+351 21 123 4567</t>
  </si>
  <si>
    <t>221B Baker St, London, UK</t>
  </si>
  <si>
    <t>Calle 123, Madrid, Spain</t>
  </si>
  <si>
    <t>No.8 Chaoyang, Beijing, China</t>
  </si>
  <si>
    <t>Manhattan, New York, US</t>
  </si>
  <si>
    <t>Cambridge, MA, US</t>
  </si>
  <si>
    <t>2024-01-15</t>
  </si>
  <si>
    <t>15/02/2024</t>
  </si>
  <si>
    <t>2024.04.01</t>
  </si>
  <si>
    <t>1 May 2024</t>
  </si>
  <si>
    <t>2024-06-05</t>
  </si>
  <si>
    <t>2024/06/12</t>
  </si>
  <si>
    <t>12-07-2024</t>
  </si>
  <si>
    <t>2024-07-20</t>
  </si>
  <si>
    <t xml:space="preserve"> 2024-07-22 </t>
  </si>
  <si>
    <t>2024-08-01</t>
  </si>
  <si>
    <t>08/05/2024</t>
  </si>
  <si>
    <t>2024-08-10</t>
  </si>
  <si>
    <t>2024-08-12</t>
  </si>
  <si>
    <t>2024-08-15</t>
  </si>
  <si>
    <t>2024-08-18</t>
  </si>
  <si>
    <t>2024-09-01</t>
  </si>
  <si>
    <t>2024-09-03</t>
  </si>
  <si>
    <t>2024-09-05</t>
  </si>
  <si>
    <t>2024-09-08</t>
  </si>
  <si>
    <t>2024-09-10</t>
  </si>
  <si>
    <t>2024-09-12</t>
  </si>
  <si>
    <t>2024-09-14</t>
  </si>
  <si>
    <t>2024-09-16</t>
  </si>
  <si>
    <t>2024-09-18</t>
  </si>
  <si>
    <t>GOLD</t>
  </si>
  <si>
    <t>silver</t>
  </si>
  <si>
    <t xml:space="preserve">bronze </t>
  </si>
  <si>
    <t xml:space="preserve">GOLD </t>
  </si>
  <si>
    <t>PLATINUM</t>
  </si>
  <si>
    <t>BRONZE</t>
  </si>
  <si>
    <t>bronze</t>
  </si>
  <si>
    <t>SILVER</t>
  </si>
  <si>
    <t>gold</t>
  </si>
  <si>
    <t>Silver</t>
  </si>
  <si>
    <t>Bronze</t>
  </si>
  <si>
    <t>Platinum</t>
  </si>
  <si>
    <t>Gold</t>
  </si>
  <si>
    <t>ProductID</t>
  </si>
  <si>
    <t>ProductName</t>
  </si>
  <si>
    <t>CategorySubcategory</t>
  </si>
  <si>
    <t>SKU</t>
  </si>
  <si>
    <t>UnitPrice</t>
  </si>
  <si>
    <t>Cost</t>
  </si>
  <si>
    <t>Discontinued</t>
  </si>
  <si>
    <t>P-101</t>
  </si>
  <si>
    <t>P-102</t>
  </si>
  <si>
    <t>P-103</t>
  </si>
  <si>
    <t>P-104</t>
  </si>
  <si>
    <t>P-105</t>
  </si>
  <si>
    <t>P-106</t>
  </si>
  <si>
    <t>P-107</t>
  </si>
  <si>
    <t>P-108</t>
  </si>
  <si>
    <t>P-109</t>
  </si>
  <si>
    <t>P-110</t>
  </si>
  <si>
    <t>P-111</t>
  </si>
  <si>
    <t>P-112</t>
  </si>
  <si>
    <t>P-113</t>
  </si>
  <si>
    <t>P-114</t>
  </si>
  <si>
    <t>P-115</t>
  </si>
  <si>
    <t>P-116</t>
  </si>
  <si>
    <t>P-117</t>
  </si>
  <si>
    <t>P-118</t>
  </si>
  <si>
    <t>P-119</t>
  </si>
  <si>
    <t>P-120</t>
  </si>
  <si>
    <t>P-121</t>
  </si>
  <si>
    <t>P-122</t>
  </si>
  <si>
    <t>P-123</t>
  </si>
  <si>
    <t>P-124</t>
  </si>
  <si>
    <t>P-125</t>
  </si>
  <si>
    <t>P-126</t>
  </si>
  <si>
    <t>Bikes|Mountain Pro 27.5</t>
  </si>
  <si>
    <t>Bikes|Road Elite 700c</t>
  </si>
  <si>
    <t xml:space="preserve">Helmets - Trail  </t>
  </si>
  <si>
    <t>Bottle:Camel 750ml</t>
  </si>
  <si>
    <t xml:space="preserve"> Gloves / Winter</t>
  </si>
  <si>
    <t>Lights|Front-900lm</t>
  </si>
  <si>
    <t>Lights|Rear - 200lm</t>
  </si>
  <si>
    <t>Pump: CO2 Mini</t>
  </si>
  <si>
    <t xml:space="preserve">Rack- Rear  </t>
  </si>
  <si>
    <t>Lock | U-Bar</t>
  </si>
  <si>
    <t>Saddle:Gel-Comfort</t>
  </si>
  <si>
    <t>Jersey-Men-L</t>
  </si>
  <si>
    <t>Shorts-Women-M</t>
  </si>
  <si>
    <t>Shoes-MTB-42</t>
  </si>
  <si>
    <t>Shoes-MTB-43</t>
  </si>
  <si>
    <t>Shoes-MTB-44</t>
  </si>
  <si>
    <t>Multi-Tool:18</t>
  </si>
  <si>
    <t>Tubeless Kit</t>
  </si>
  <si>
    <t>Chain Lube-100ml</t>
  </si>
  <si>
    <t>Bikes|Hybrid Commuter</t>
  </si>
  <si>
    <t>Bikes|Gravel-Racer</t>
  </si>
  <si>
    <t>Helmet - Aero</t>
  </si>
  <si>
    <t>Socks|Merino</t>
  </si>
  <si>
    <t>GPS-Computer 520</t>
  </si>
  <si>
    <t>Action Cam 4K</t>
  </si>
  <si>
    <t>Bikes|Mountain</t>
  </si>
  <si>
    <t>Bikes|Road</t>
  </si>
  <si>
    <t>Accessories|Safety</t>
  </si>
  <si>
    <t>Accessories|Hydration</t>
  </si>
  <si>
    <t>Accessories|Apparel</t>
  </si>
  <si>
    <t>Accessories|Lighting</t>
  </si>
  <si>
    <t>Accessories|Tools</t>
  </si>
  <si>
    <t>Accessories|Cargo</t>
  </si>
  <si>
    <t>Accessories|Security</t>
  </si>
  <si>
    <t>Accessories|Comfort</t>
  </si>
  <si>
    <t>Apparel|Jersey</t>
  </si>
  <si>
    <t>Apparel|Shorts</t>
  </si>
  <si>
    <t>Footwear|Shoes</t>
  </si>
  <si>
    <t>Accessories|Repair</t>
  </si>
  <si>
    <t>Accessories|Maintenance</t>
  </si>
  <si>
    <t>Bikes|Hybrid</t>
  </si>
  <si>
    <t>Bikes|Gravel</t>
  </si>
  <si>
    <t>Apparel|Socks</t>
  </si>
  <si>
    <t>Electronics|GPS</t>
  </si>
  <si>
    <t>Electronics|Camera</t>
  </si>
  <si>
    <t>BIK-00123-XL</t>
  </si>
  <si>
    <t>BIK-00456-L</t>
  </si>
  <si>
    <t>ACC-TR-HELM-001</t>
  </si>
  <si>
    <t>ACC-HY-0750</t>
  </si>
  <si>
    <t>ACC-AP-GLV-WI</t>
  </si>
  <si>
    <t>ACC-LI-FR-900</t>
  </si>
  <si>
    <t>ACC-LI-RR-200</t>
  </si>
  <si>
    <t>ACC-TO-CO2-01</t>
  </si>
  <si>
    <t>ACC-CG-RK-RR</t>
  </si>
  <si>
    <t>ACC-SC-UB-01</t>
  </si>
  <si>
    <t>ACC-CM-SDL-GE</t>
  </si>
  <si>
    <t>APP-JRS-M-L</t>
  </si>
  <si>
    <t>APP-SHR-W-M</t>
  </si>
  <si>
    <t>FTW-SHO-MTB-42</t>
  </si>
  <si>
    <t>FTW-SHO-MTB-43</t>
  </si>
  <si>
    <t>FTW-SHO-MTB-44</t>
  </si>
  <si>
    <t>ACC-TO-MT-18</t>
  </si>
  <si>
    <t>ACC-RP-TUBE</t>
  </si>
  <si>
    <t>ACC-MA-LUBE</t>
  </si>
  <si>
    <t>BIK-HY-COM-01</t>
  </si>
  <si>
    <t>BIK-GR-RAC-01</t>
  </si>
  <si>
    <t>ACC-TR-HELM-AR</t>
  </si>
  <si>
    <t>APP-SCK-MER</t>
  </si>
  <si>
    <t>ELE-GPS-520</t>
  </si>
  <si>
    <t>ELE-CAM-4K</t>
  </si>
  <si>
    <t>USD 1999.00</t>
  </si>
  <si>
    <t>USD 2499.00</t>
  </si>
  <si>
    <t>USD 79.99</t>
  </si>
  <si>
    <t>USD 34.50</t>
  </si>
  <si>
    <t>USD 89.00</t>
  </si>
  <si>
    <t>USD 59.00</t>
  </si>
  <si>
    <t>USD 25.00</t>
  </si>
  <si>
    <t>USD 49.99</t>
  </si>
  <si>
    <t>USD 39.99</t>
  </si>
  <si>
    <t>USD 69.99</t>
  </si>
  <si>
    <t>USD 59.99</t>
  </si>
  <si>
    <t>USD 129.99</t>
  </si>
  <si>
    <t>USD 29.99</t>
  </si>
  <si>
    <t>USD 9.99</t>
  </si>
  <si>
    <t>USD 1899.00</t>
  </si>
  <si>
    <t>USD 199.99</t>
  </si>
  <si>
    <t>USD 14.99</t>
  </si>
  <si>
    <t>USD 299.99</t>
  </si>
  <si>
    <t>1500</t>
  </si>
  <si>
    <t>2000</t>
  </si>
  <si>
    <t>50</t>
  </si>
  <si>
    <t>20</t>
  </si>
  <si>
    <t>60</t>
  </si>
  <si>
    <t>40</t>
  </si>
  <si>
    <t>14</t>
  </si>
  <si>
    <t>35</t>
  </si>
  <si>
    <t>28</t>
  </si>
  <si>
    <t>52</t>
  </si>
  <si>
    <t>43</t>
  </si>
  <si>
    <t>55</t>
  </si>
  <si>
    <t>95</t>
  </si>
  <si>
    <t>25</t>
  </si>
  <si>
    <t>18</t>
  </si>
  <si>
    <t>7</t>
  </si>
  <si>
    <t>700</t>
  </si>
  <si>
    <t>120</t>
  </si>
  <si>
    <t>10</t>
  </si>
  <si>
    <t>220</t>
  </si>
  <si>
    <t>150</t>
  </si>
  <si>
    <t>No</t>
  </si>
  <si>
    <t>no</t>
  </si>
  <si>
    <t>NO</t>
  </si>
  <si>
    <t>Yes</t>
  </si>
  <si>
    <t>StoreID</t>
  </si>
  <si>
    <t>StoreName</t>
  </si>
  <si>
    <t>RegionCode</t>
  </si>
  <si>
    <t>S-01</t>
  </si>
  <si>
    <t>S-02</t>
  </si>
  <si>
    <t>S-03</t>
  </si>
  <si>
    <t>S-04</t>
  </si>
  <si>
    <t>S-05</t>
  </si>
  <si>
    <t>S-06</t>
  </si>
  <si>
    <t>S-07</t>
  </si>
  <si>
    <t>S-08</t>
  </si>
  <si>
    <t>S-09</t>
  </si>
  <si>
    <t>S-10</t>
  </si>
  <si>
    <t>NovaGear London</t>
  </si>
  <si>
    <t>NovaGear Madrid</t>
  </si>
  <si>
    <t>NovaGear Beijing</t>
  </si>
  <si>
    <t>NovaGear Rome</t>
  </si>
  <si>
    <t>NovaGear São Paulo</t>
  </si>
  <si>
    <t>NovaGear Moscow</t>
  </si>
  <si>
    <t>NovaGear Mumbai</t>
  </si>
  <si>
    <t>NovaGear Hanoi</t>
  </si>
  <si>
    <t>NovaGear Berlin</t>
  </si>
  <si>
    <t>NovaGear Dubai</t>
  </si>
  <si>
    <t>UK-LON</t>
  </si>
  <si>
    <t>ES-MD</t>
  </si>
  <si>
    <t>CN-BJ</t>
  </si>
  <si>
    <t>IT-RM</t>
  </si>
  <si>
    <t xml:space="preserve">BR-SP </t>
  </si>
  <si>
    <t>RU-MOW</t>
  </si>
  <si>
    <t>IN-MH</t>
  </si>
  <si>
    <t>VN-HN</t>
  </si>
  <si>
    <t>DE-BE</t>
  </si>
  <si>
    <t>AE-DXB</t>
  </si>
  <si>
    <t>London - LON - UK</t>
  </si>
  <si>
    <t>Madrid-   MD - Spain</t>
  </si>
  <si>
    <t>Beijing - BJ - China</t>
  </si>
  <si>
    <t>Roma - RM - IT</t>
  </si>
  <si>
    <t>São Paulo - SP - Brazil</t>
  </si>
  <si>
    <t>Moscow - MOW - Russia</t>
  </si>
  <si>
    <t>Mumbai - MH - India</t>
  </si>
  <si>
    <t>Hanoi - HN - Vietnam</t>
  </si>
  <si>
    <t>Berlin - BE - Germany</t>
  </si>
  <si>
    <t>Dubai - DXB - UAE</t>
  </si>
  <si>
    <t>FromCurrency</t>
  </si>
  <si>
    <t>ToCurrency</t>
  </si>
  <si>
    <t>Rate</t>
  </si>
  <si>
    <t>USD</t>
  </si>
  <si>
    <t>EUR</t>
  </si>
  <si>
    <t>CAD</t>
  </si>
  <si>
    <t>OrderID</t>
  </si>
  <si>
    <t>OrderDate</t>
  </si>
  <si>
    <t>Currency</t>
  </si>
  <si>
    <t>TotalAmount</t>
  </si>
  <si>
    <t>PaymentMethod</t>
  </si>
  <si>
    <t>OrderStatus</t>
  </si>
  <si>
    <t>O-1001</t>
  </si>
  <si>
    <t>O-1002</t>
  </si>
  <si>
    <t>O-1003</t>
  </si>
  <si>
    <t>O-1004</t>
  </si>
  <si>
    <t>O-1005</t>
  </si>
  <si>
    <t>O-1006</t>
  </si>
  <si>
    <t>O-1007</t>
  </si>
  <si>
    <t>O-1008</t>
  </si>
  <si>
    <t>O-1009</t>
  </si>
  <si>
    <t>O-1010</t>
  </si>
  <si>
    <t>O-1011</t>
  </si>
  <si>
    <t>O-1012</t>
  </si>
  <si>
    <t>O-1013</t>
  </si>
  <si>
    <t>O-1014</t>
  </si>
  <si>
    <t>O-1015</t>
  </si>
  <si>
    <t>O-1016</t>
  </si>
  <si>
    <t>O-1017</t>
  </si>
  <si>
    <t>O-1018</t>
  </si>
  <si>
    <t>O-1019</t>
  </si>
  <si>
    <t>O-1020</t>
  </si>
  <si>
    <t>O-1021</t>
  </si>
  <si>
    <t>O-1022</t>
  </si>
  <si>
    <t>O-1023</t>
  </si>
  <si>
    <t>O-1024</t>
  </si>
  <si>
    <t>O-1025</t>
  </si>
  <si>
    <t>O-1026</t>
  </si>
  <si>
    <t>O-1027</t>
  </si>
  <si>
    <t>O-1028</t>
  </si>
  <si>
    <t>O-1029</t>
  </si>
  <si>
    <t>O-1030</t>
  </si>
  <si>
    <t>O-1031</t>
  </si>
  <si>
    <t>O-1032</t>
  </si>
  <si>
    <t>O-1033</t>
  </si>
  <si>
    <t>O-1034</t>
  </si>
  <si>
    <t>O-1035</t>
  </si>
  <si>
    <t>O-1036</t>
  </si>
  <si>
    <t>O-1037</t>
  </si>
  <si>
    <t>O-1038</t>
  </si>
  <si>
    <t>O-1039</t>
  </si>
  <si>
    <t>O-1040</t>
  </si>
  <si>
    <t>O-1041</t>
  </si>
  <si>
    <t>O-1042</t>
  </si>
  <si>
    <t>O-1043</t>
  </si>
  <si>
    <t>O-1044</t>
  </si>
  <si>
    <t>O-1045</t>
  </si>
  <si>
    <t>O-1046</t>
  </si>
  <si>
    <t>O-1047</t>
  </si>
  <si>
    <t>O-1048</t>
  </si>
  <si>
    <t>O-1049</t>
  </si>
  <si>
    <t>O-1050</t>
  </si>
  <si>
    <t>07/21/2024</t>
  </si>
  <si>
    <t>07/27/2024</t>
  </si>
  <si>
    <t>2025-05-19</t>
  </si>
  <si>
    <t>2024-07-05</t>
  </si>
  <si>
    <t>1 Aug 2024</t>
  </si>
  <si>
    <t>2024.07.21</t>
  </si>
  <si>
    <t>2025-05-14</t>
  </si>
  <si>
    <t>2025-03-04</t>
  </si>
  <si>
    <t>2024-07-01</t>
  </si>
  <si>
    <t>2025-01-15</t>
  </si>
  <si>
    <t>2024-07-07</t>
  </si>
  <si>
    <t>2024.07.17</t>
  </si>
  <si>
    <t>2024.07.19</t>
  </si>
  <si>
    <t>2024-07-08</t>
  </si>
  <si>
    <t>2024-07-03</t>
  </si>
  <si>
    <t>2025-02-02</t>
  </si>
  <si>
    <t>2025-02-15</t>
  </si>
  <si>
    <t>2024-07-04</t>
  </si>
  <si>
    <t>2025-07-19</t>
  </si>
  <si>
    <t>2024.07.23</t>
  </si>
  <si>
    <t>2024.07.14</t>
  </si>
  <si>
    <t>2025-06-29</t>
  </si>
  <si>
    <t>2024-11-07</t>
  </si>
  <si>
    <t>2024.07.24</t>
  </si>
  <si>
    <t>07/26/2024</t>
  </si>
  <si>
    <t>2025-03-29</t>
  </si>
  <si>
    <t>2024-07-02</t>
  </si>
  <si>
    <t>07/20/2024</t>
  </si>
  <si>
    <t>2025-02-12</t>
  </si>
  <si>
    <t>2024-10-19</t>
  </si>
  <si>
    <t>2024-12-25</t>
  </si>
  <si>
    <t>2024.07.11</t>
  </si>
  <si>
    <t>07/28/2024</t>
  </si>
  <si>
    <t>07/24/2024</t>
  </si>
  <si>
    <t>2024.07.15</t>
  </si>
  <si>
    <t>Card</t>
  </si>
  <si>
    <t>UPI</t>
  </si>
  <si>
    <t>Cash</t>
  </si>
  <si>
    <t>Wallet</t>
  </si>
  <si>
    <t>Completed</t>
  </si>
  <si>
    <t xml:space="preserve"> </t>
  </si>
  <si>
    <t>Refunded</t>
  </si>
  <si>
    <t>Pending</t>
  </si>
  <si>
    <t>OrderLineID</t>
  </si>
  <si>
    <t>Quantity</t>
  </si>
  <si>
    <t>Discount</t>
  </si>
  <si>
    <t>LineAmount</t>
  </si>
  <si>
    <t>OL-84365</t>
  </si>
  <si>
    <t>OL-10892</t>
  </si>
  <si>
    <t>OL-58853</t>
  </si>
  <si>
    <t>OL-22622</t>
  </si>
  <si>
    <t>OL-37195</t>
  </si>
  <si>
    <t>OL-38411</t>
  </si>
  <si>
    <t>OL-19771</t>
  </si>
  <si>
    <t>OL-70500</t>
  </si>
  <si>
    <t>OL-20698</t>
  </si>
  <si>
    <t>OL-31948</t>
  </si>
  <si>
    <t>OL-75725</t>
  </si>
  <si>
    <t>OL-75428</t>
  </si>
  <si>
    <t>OL-79177</t>
  </si>
  <si>
    <t>OL-38860</t>
  </si>
  <si>
    <t>OL-19696</t>
  </si>
  <si>
    <t>OL-92440</t>
  </si>
  <si>
    <t>OL-97763</t>
  </si>
  <si>
    <t>OL-31280</t>
  </si>
  <si>
    <t>OL-22713</t>
  </si>
  <si>
    <t>OL-59211</t>
  </si>
  <si>
    <t>OL-43382</t>
  </si>
  <si>
    <t>OL-84680</t>
  </si>
  <si>
    <t>OL-82741</t>
  </si>
  <si>
    <t>OL-96688</t>
  </si>
  <si>
    <t>OL-28246</t>
  </si>
  <si>
    <t>OL-67134</t>
  </si>
  <si>
    <t>OL-36182</t>
  </si>
  <si>
    <t>OL-65966</t>
  </si>
  <si>
    <t>OL-91496</t>
  </si>
  <si>
    <t>OL-33036</t>
  </si>
  <si>
    <t>OL-94242</t>
  </si>
  <si>
    <t>OL-26262</t>
  </si>
  <si>
    <t>OL-24814</t>
  </si>
  <si>
    <t>OL-14041</t>
  </si>
  <si>
    <t>OL-36891</t>
  </si>
  <si>
    <t>OL-97242</t>
  </si>
  <si>
    <t>OL-99312</t>
  </si>
  <si>
    <t>OL-90250</t>
  </si>
  <si>
    <t>OL-77373</t>
  </si>
  <si>
    <t>OL-90170</t>
  </si>
  <si>
    <t>OL-30107</t>
  </si>
  <si>
    <t>OL-90409</t>
  </si>
  <si>
    <t>OL-56696</t>
  </si>
  <si>
    <t>OL-38433</t>
  </si>
  <si>
    <t>OL-11990</t>
  </si>
  <si>
    <t>OL-40202</t>
  </si>
  <si>
    <t>OL-69548</t>
  </si>
  <si>
    <t>OL-46919</t>
  </si>
  <si>
    <t>OL-89765</t>
  </si>
  <si>
    <t>OL-18501</t>
  </si>
  <si>
    <t>OL-77210</t>
  </si>
  <si>
    <t>OL-44198</t>
  </si>
  <si>
    <t>OL-33621</t>
  </si>
  <si>
    <t>OL-94312</t>
  </si>
  <si>
    <t>OL-31687</t>
  </si>
  <si>
    <t>OL-12871</t>
  </si>
  <si>
    <t>OL-21048</t>
  </si>
  <si>
    <t>OL-84799</t>
  </si>
  <si>
    <t>OL-23795</t>
  </si>
  <si>
    <t>OL-77205</t>
  </si>
  <si>
    <t>OL-26133</t>
  </si>
  <si>
    <t>OL-63943</t>
  </si>
  <si>
    <t>OL-74792</t>
  </si>
  <si>
    <t>OL-14030</t>
  </si>
  <si>
    <t>OL-27678</t>
  </si>
  <si>
    <t>OL-35245</t>
  </si>
  <si>
    <t>OL-99821</t>
  </si>
  <si>
    <t>OL-38837</t>
  </si>
  <si>
    <t>OL-97463</t>
  </si>
  <si>
    <t>OL-54937</t>
  </si>
  <si>
    <t>OL-49032</t>
  </si>
  <si>
    <t>OL-22950</t>
  </si>
  <si>
    <t>OL-11254</t>
  </si>
  <si>
    <t>OL-25684</t>
  </si>
  <si>
    <t>OL-30668</t>
  </si>
  <si>
    <t>OL-21863</t>
  </si>
  <si>
    <t>OL-70988</t>
  </si>
  <si>
    <t>OL-20964</t>
  </si>
  <si>
    <t>OL-36687</t>
  </si>
  <si>
    <t>OL-55569</t>
  </si>
  <si>
    <t>OL-72482</t>
  </si>
  <si>
    <t>OL-78956</t>
  </si>
  <si>
    <t>OL-62299</t>
  </si>
  <si>
    <t>OL-27979</t>
  </si>
  <si>
    <t>OL-87787</t>
  </si>
  <si>
    <t>OL-12259</t>
  </si>
  <si>
    <t>OL-74385</t>
  </si>
  <si>
    <t>OL-17594</t>
  </si>
  <si>
    <t>OL-84335</t>
  </si>
  <si>
    <t>OL-21795</t>
  </si>
  <si>
    <t>OL-49044</t>
  </si>
  <si>
    <t>OL-61054</t>
  </si>
  <si>
    <t>OL-17278</t>
  </si>
  <si>
    <t>OL-45781</t>
  </si>
  <si>
    <t>OL-97579</t>
  </si>
  <si>
    <t>OL-21899</t>
  </si>
  <si>
    <t>OL-55753</t>
  </si>
  <si>
    <t>OL-69657</t>
  </si>
  <si>
    <t>OL-96005</t>
  </si>
  <si>
    <t>OL-35779</t>
  </si>
  <si>
    <t>OL-96424</t>
  </si>
  <si>
    <t>2</t>
  </si>
  <si>
    <t>two</t>
  </si>
  <si>
    <t>1</t>
  </si>
  <si>
    <t>3</t>
  </si>
  <si>
    <t>3 pcs</t>
  </si>
  <si>
    <t>4</t>
  </si>
  <si>
    <t>5 %</t>
  </si>
  <si>
    <t>0%</t>
  </si>
  <si>
    <t>10%</t>
  </si>
  <si>
    <t>123.45</t>
  </si>
  <si>
    <t>1.234,56</t>
  </si>
  <si>
    <t>EUR 19.99</t>
  </si>
  <si>
    <t>maria.santos at example.com</t>
  </si>
  <si>
    <t>minh.nguyen at example.com</t>
  </si>
  <si>
    <t>giulia.rossi at example.com</t>
  </si>
  <si>
    <t>jin.kim at example.com</t>
  </si>
  <si>
    <t>eva.novak at example.com</t>
  </si>
  <si>
    <t>awa.ndiaye at example.com</t>
  </si>
  <si>
    <t xml:space="preserve">   +1-617-555-0100</t>
  </si>
  <si>
    <t>+7-495-123-4567</t>
  </si>
  <si>
    <t>+91-987-654-3210</t>
  </si>
  <si>
    <t>+1-555-123-4567</t>
  </si>
  <si>
    <t>+1-212-555-0199</t>
  </si>
  <si>
    <t xml:space="preserve"> +82-2-312-3456</t>
  </si>
  <si>
    <t>+971-4-123-4567</t>
  </si>
  <si>
    <t>+84-24-3825-2736</t>
  </si>
  <si>
    <t>+86-10-6552-9988</t>
  </si>
  <si>
    <t>+020-7946-0958</t>
  </si>
  <si>
    <t xml:space="preserve">   +86-21-6247-6666</t>
  </si>
  <si>
    <t>+39-02-123-4567</t>
  </si>
  <si>
    <t>+55-119-8765-4321</t>
  </si>
  <si>
    <t xml:space="preserve">+39-06-6982-1  </t>
  </si>
  <si>
    <t>+555-987-6543</t>
  </si>
  <si>
    <t>+81-3-1234-5678</t>
  </si>
  <si>
    <t>+91-22-1234-5678</t>
  </si>
  <si>
    <t>+48-22-695-7000</t>
  </si>
  <si>
    <t>+420-224-001-111</t>
  </si>
  <si>
    <t>+34-91-123-4567</t>
  </si>
  <si>
    <t>+40-21-201-0200</t>
  </si>
  <si>
    <t>+39-06-6982-1</t>
  </si>
  <si>
    <t xml:space="preserve"> +20-2-2794-2400</t>
  </si>
  <si>
    <t>+221-33-839-5050</t>
  </si>
  <si>
    <t>+49-30-901820</t>
  </si>
  <si>
    <t>142 Thomas, Shing, Ireland</t>
  </si>
  <si>
    <t>Via Roma 10, Roma, Italy</t>
  </si>
  <si>
    <t>Av. Paulista, São Paulo, Brazil</t>
  </si>
  <si>
    <t>Tverskaya 7, Moscow, Russia</t>
  </si>
  <si>
    <t>Bandra, Mumbai, India</t>
  </si>
  <si>
    <t>Hoan Kiem, Hanoi, Vietnam</t>
  </si>
  <si>
    <t>Alexanderplatz, Berlin, Germany</t>
  </si>
  <si>
    <t>Pudong, Shanghai, China</t>
  </si>
  <si>
    <t>Deira, Dubai, UAE</t>
  </si>
  <si>
    <t>Duomo, Milano, Italy</t>
  </si>
  <si>
    <t>Alameda, Lisboa, Portugal</t>
  </si>
  <si>
    <t>Shinjuku, Tokyo, Japan</t>
  </si>
  <si>
    <t>Seoul, Korea</t>
  </si>
  <si>
    <t>Mumbai, India</t>
  </si>
  <si>
    <t>Warsaw, Poland</t>
  </si>
  <si>
    <t>Prague, Czechia</t>
  </si>
  <si>
    <t>Madrid, Spain</t>
  </si>
  <si>
    <t>Bucharest, Romania</t>
  </si>
  <si>
    <t>Dakar, Senegal</t>
  </si>
  <si>
    <t>Cairo, Egypt</t>
  </si>
  <si>
    <t>EUR 899.00</t>
  </si>
  <si>
    <t>C-0026</t>
  </si>
  <si>
    <t>EUR 376.941</t>
  </si>
  <si>
    <t>CAD 328.981</t>
  </si>
  <si>
    <t>EUR 100</t>
  </si>
  <si>
    <t>EUR 786.96</t>
  </si>
  <si>
    <t>CAD 7937.23</t>
  </si>
  <si>
    <t>CAD 249.553</t>
  </si>
  <si>
    <t>USD 161.481</t>
  </si>
  <si>
    <t>USD 44.98</t>
  </si>
  <si>
    <t>USD 2064.03</t>
  </si>
  <si>
    <t>USD 279.95</t>
  </si>
  <si>
    <t>USD 84.55</t>
  </si>
  <si>
    <t>USD 4793.07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</si>
</sst>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0"/>
      </left>
      <right/>
      <top style="thin">
        <color auto="1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49" fontId="0" fillId="0" borderId="0" xfId="0" applyNumberFormat="1"/>
    <xf numFmtId="0" fontId="1" fillId="2" borderId="2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0" fillId="3" borderId="1" xfId="0" applyFill="1" applyBorder="1"/>
    <xf numFmtId="0" fontId="0" fillId="3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3" borderId="5" xfId="0" applyFill="1" applyBorder="1"/>
    <xf numFmtId="0" fontId="0" fillId="3" borderId="6" xfId="0" applyFill="1" applyBorder="1"/>
    <xf numFmtId="49" fontId="1" fillId="2" borderId="2" xfId="0" applyNumberFormat="1" applyFont="1" applyFill="1" applyBorder="1" applyAlignment="1">
      <alignment horizontal="center" vertical="top"/>
    </xf>
    <xf numFmtId="49" fontId="0" fillId="3" borderId="4" xfId="0" applyNumberFormat="1" applyFill="1" applyBorder="1"/>
    <xf numFmtId="49" fontId="0" fillId="4" borderId="6" xfId="0" applyNumberFormat="1" applyFill="1" applyBorder="1"/>
    <xf numFmtId="49" fontId="0" fillId="3" borderId="6" xfId="0" applyNumberFormat="1" applyFill="1" applyBorder="1"/>
    <xf numFmtId="0" fontId="1" fillId="2" borderId="0" xfId="0" applyFont="1" applyFill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0" fillId="3" borderId="8" xfId="0" applyFill="1" applyBorder="1" applyAlignment="1">
      <alignment vertical="center" wrapText="1"/>
    </xf>
    <xf numFmtId="0" fontId="0" fillId="3" borderId="9" xfId="0" applyFill="1" applyBorder="1" applyAlignment="1">
      <alignment vertical="center" wrapText="1"/>
    </xf>
    <xf numFmtId="0" fontId="0" fillId="4" borderId="5" xfId="0" applyFill="1" applyBorder="1" applyAlignment="1">
      <alignment vertical="center" wrapText="1"/>
    </xf>
    <xf numFmtId="0" fontId="0" fillId="4" borderId="6" xfId="0" applyFill="1" applyBorder="1" applyAlignment="1">
      <alignment vertical="center" wrapText="1"/>
    </xf>
    <xf numFmtId="0" fontId="0" fillId="3" borderId="5" xfId="0" applyFill="1" applyBorder="1" applyAlignment="1">
      <alignment vertical="center" wrapText="1"/>
    </xf>
    <xf numFmtId="0" fontId="0" fillId="3" borderId="6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workbookViewId="0">
      <selection activeCell="D8" sqref="D8"/>
    </sheetView>
  </sheetViews>
  <sheetFormatPr defaultRowHeight="14.4" x14ac:dyDescent="0.3"/>
  <cols>
    <col min="1" max="1" width="12.77734375" customWidth="1"/>
    <col min="2" max="2" width="14" bestFit="1" customWidth="1"/>
    <col min="3" max="3" width="26.6640625" bestFit="1" customWidth="1"/>
    <col min="4" max="4" width="21.88671875" customWidth="1"/>
    <col min="5" max="5" width="25.5546875" bestFit="1" customWidth="1"/>
    <col min="6" max="6" width="15.109375" bestFit="1" customWidth="1"/>
    <col min="7" max="7" width="12.109375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3">
      <c r="A2" s="4" t="s">
        <v>7</v>
      </c>
      <c r="B2" s="5" t="s">
        <v>32</v>
      </c>
      <c r="C2" s="5" t="s">
        <v>57</v>
      </c>
      <c r="D2" s="11" t="s">
        <v>539</v>
      </c>
      <c r="E2" s="5" t="s">
        <v>77</v>
      </c>
      <c r="F2" s="5" t="s">
        <v>82</v>
      </c>
      <c r="G2" s="5" t="s">
        <v>106</v>
      </c>
    </row>
    <row r="3" spans="1:7" x14ac:dyDescent="0.3">
      <c r="A3" s="6" t="s">
        <v>8</v>
      </c>
      <c r="B3" s="7" t="s">
        <v>33</v>
      </c>
      <c r="C3" s="7" t="s">
        <v>58</v>
      </c>
      <c r="D3" s="12" t="s">
        <v>550</v>
      </c>
      <c r="E3" s="7" t="s">
        <v>78</v>
      </c>
      <c r="F3" s="7" t="s">
        <v>83</v>
      </c>
      <c r="G3" s="7" t="s">
        <v>107</v>
      </c>
    </row>
    <row r="4" spans="1:7" x14ac:dyDescent="0.3">
      <c r="A4" s="8" t="s">
        <v>9</v>
      </c>
      <c r="B4" s="9" t="s">
        <v>34</v>
      </c>
      <c r="C4" s="9" t="s">
        <v>59</v>
      </c>
      <c r="D4" s="13" t="s">
        <v>545</v>
      </c>
      <c r="E4" s="9" t="s">
        <v>561</v>
      </c>
      <c r="F4" s="9" t="s">
        <v>92</v>
      </c>
      <c r="G4" s="9"/>
    </row>
    <row r="5" spans="1:7" x14ac:dyDescent="0.3">
      <c r="A5" s="6" t="s">
        <v>10</v>
      </c>
      <c r="B5" s="7" t="s">
        <v>35</v>
      </c>
      <c r="C5" s="7" t="s">
        <v>60</v>
      </c>
      <c r="D5" s="12" t="s">
        <v>544</v>
      </c>
      <c r="E5" s="7" t="s">
        <v>79</v>
      </c>
      <c r="F5" s="7" t="s">
        <v>84</v>
      </c>
      <c r="G5" s="7" t="s">
        <v>108</v>
      </c>
    </row>
    <row r="6" spans="1:7" x14ac:dyDescent="0.3">
      <c r="A6" s="8" t="s">
        <v>11</v>
      </c>
      <c r="B6" s="9" t="s">
        <v>36</v>
      </c>
      <c r="C6" s="9" t="s">
        <v>61</v>
      </c>
      <c r="D6" s="13" t="s">
        <v>549</v>
      </c>
      <c r="E6" s="9" t="s">
        <v>562</v>
      </c>
      <c r="F6" s="9" t="s">
        <v>85</v>
      </c>
      <c r="G6" s="9" t="s">
        <v>109</v>
      </c>
    </row>
    <row r="7" spans="1:7" x14ac:dyDescent="0.3">
      <c r="A7" s="6" t="s">
        <v>12</v>
      </c>
      <c r="B7" s="7" t="s">
        <v>37</v>
      </c>
      <c r="C7" s="7" t="s">
        <v>530</v>
      </c>
      <c r="D7" s="12" t="s">
        <v>548</v>
      </c>
      <c r="E7" s="7" t="s">
        <v>563</v>
      </c>
      <c r="F7" s="7" t="s">
        <v>86</v>
      </c>
      <c r="G7" s="7"/>
    </row>
    <row r="8" spans="1:7" x14ac:dyDescent="0.3">
      <c r="A8" s="8" t="s">
        <v>13</v>
      </c>
      <c r="B8" s="9" t="s">
        <v>38</v>
      </c>
      <c r="C8" s="9" t="s">
        <v>62</v>
      </c>
      <c r="D8" s="13" t="s">
        <v>537</v>
      </c>
      <c r="E8" s="9" t="s">
        <v>564</v>
      </c>
      <c r="F8" s="9" t="s">
        <v>87</v>
      </c>
      <c r="G8" s="9" t="s">
        <v>110</v>
      </c>
    </row>
    <row r="9" spans="1:7" x14ac:dyDescent="0.3">
      <c r="A9" s="6" t="s">
        <v>14</v>
      </c>
      <c r="B9" s="7" t="s">
        <v>39</v>
      </c>
      <c r="C9" s="7" t="s">
        <v>63</v>
      </c>
      <c r="D9" s="12" t="s">
        <v>538</v>
      </c>
      <c r="E9" s="7" t="s">
        <v>565</v>
      </c>
      <c r="F9" s="7" t="s">
        <v>88</v>
      </c>
      <c r="G9" s="7" t="s">
        <v>106</v>
      </c>
    </row>
    <row r="10" spans="1:7" x14ac:dyDescent="0.3">
      <c r="A10" s="8" t="s">
        <v>15</v>
      </c>
      <c r="B10" s="9" t="s">
        <v>40</v>
      </c>
      <c r="C10" s="9" t="s">
        <v>531</v>
      </c>
      <c r="D10" s="13" t="s">
        <v>543</v>
      </c>
      <c r="E10" s="9" t="s">
        <v>566</v>
      </c>
      <c r="F10" s="9" t="s">
        <v>89</v>
      </c>
      <c r="G10" s="9" t="s">
        <v>107</v>
      </c>
    </row>
    <row r="11" spans="1:7" x14ac:dyDescent="0.3">
      <c r="A11" s="6" t="s">
        <v>16</v>
      </c>
      <c r="B11" s="7" t="s">
        <v>41</v>
      </c>
      <c r="C11" s="7" t="s">
        <v>64</v>
      </c>
      <c r="D11" s="12" t="s">
        <v>560</v>
      </c>
      <c r="E11" s="7" t="s">
        <v>567</v>
      </c>
      <c r="F11" s="7" t="s">
        <v>90</v>
      </c>
      <c r="G11" s="7" t="s">
        <v>111</v>
      </c>
    </row>
    <row r="12" spans="1:7" x14ac:dyDescent="0.3">
      <c r="A12" s="8" t="s">
        <v>17</v>
      </c>
      <c r="B12" s="9" t="s">
        <v>42</v>
      </c>
      <c r="C12" s="9" t="s">
        <v>65</v>
      </c>
      <c r="D12" s="13" t="s">
        <v>546</v>
      </c>
      <c r="E12" s="9" t="s">
        <v>568</v>
      </c>
      <c r="F12" s="9" t="s">
        <v>91</v>
      </c>
      <c r="G12" s="9" t="s">
        <v>112</v>
      </c>
    </row>
    <row r="13" spans="1:7" x14ac:dyDescent="0.3">
      <c r="A13" s="6" t="s">
        <v>18</v>
      </c>
      <c r="B13" s="7" t="s">
        <v>43</v>
      </c>
      <c r="C13" s="7" t="s">
        <v>66</v>
      </c>
      <c r="D13" s="12" t="s">
        <v>542</v>
      </c>
      <c r="E13" s="7" t="s">
        <v>569</v>
      </c>
      <c r="F13" s="7" t="s">
        <v>92</v>
      </c>
      <c r="G13" s="7" t="s">
        <v>106</v>
      </c>
    </row>
    <row r="14" spans="1:7" x14ac:dyDescent="0.3">
      <c r="A14" s="8" t="s">
        <v>19</v>
      </c>
      <c r="B14" s="9" t="s">
        <v>44</v>
      </c>
      <c r="C14" s="9" t="s">
        <v>532</v>
      </c>
      <c r="D14" s="13" t="s">
        <v>547</v>
      </c>
      <c r="E14" s="9" t="s">
        <v>570</v>
      </c>
      <c r="F14" s="9" t="s">
        <v>93</v>
      </c>
      <c r="G14" s="9" t="s">
        <v>113</v>
      </c>
    </row>
    <row r="15" spans="1:7" x14ac:dyDescent="0.3">
      <c r="A15" s="6" t="s">
        <v>20</v>
      </c>
      <c r="B15" s="7" t="s">
        <v>45</v>
      </c>
      <c r="C15" s="7" t="s">
        <v>67</v>
      </c>
      <c r="D15" s="12" t="s">
        <v>76</v>
      </c>
      <c r="E15" s="7" t="s">
        <v>571</v>
      </c>
      <c r="F15" s="7" t="s">
        <v>94</v>
      </c>
      <c r="G15" s="7" t="s">
        <v>110</v>
      </c>
    </row>
    <row r="16" spans="1:7" x14ac:dyDescent="0.3">
      <c r="A16" s="8" t="s">
        <v>21</v>
      </c>
      <c r="B16" s="9" t="s">
        <v>46</v>
      </c>
      <c r="C16" s="9" t="s">
        <v>68</v>
      </c>
      <c r="D16" s="13" t="s">
        <v>551</v>
      </c>
      <c r="E16" s="9" t="s">
        <v>572</v>
      </c>
      <c r="F16" s="9" t="s">
        <v>95</v>
      </c>
      <c r="G16" s="9" t="s">
        <v>114</v>
      </c>
    </row>
    <row r="17" spans="1:7" x14ac:dyDescent="0.3">
      <c r="A17" s="6" t="s">
        <v>22</v>
      </c>
      <c r="B17" s="7" t="s">
        <v>47</v>
      </c>
      <c r="C17" s="7" t="s">
        <v>69</v>
      </c>
      <c r="D17" s="12" t="s">
        <v>540</v>
      </c>
      <c r="E17" s="7" t="s">
        <v>80</v>
      </c>
      <c r="F17" s="7" t="s">
        <v>96</v>
      </c>
      <c r="G17" s="7" t="s">
        <v>115</v>
      </c>
    </row>
    <row r="18" spans="1:7" x14ac:dyDescent="0.3">
      <c r="A18" s="8" t="s">
        <v>23</v>
      </c>
      <c r="B18" s="9" t="s">
        <v>48</v>
      </c>
      <c r="C18" s="9" t="s">
        <v>70</v>
      </c>
      <c r="D18" s="13" t="s">
        <v>536</v>
      </c>
      <c r="E18" s="9" t="s">
        <v>81</v>
      </c>
      <c r="F18" s="9" t="s">
        <v>97</v>
      </c>
      <c r="G18" s="9" t="s">
        <v>116</v>
      </c>
    </row>
    <row r="19" spans="1:7" x14ac:dyDescent="0.3">
      <c r="A19" s="6" t="s">
        <v>24</v>
      </c>
      <c r="B19" s="7" t="s">
        <v>49</v>
      </c>
      <c r="C19" s="7" t="s">
        <v>533</v>
      </c>
      <c r="D19" s="12" t="s">
        <v>541</v>
      </c>
      <c r="E19" s="7" t="s">
        <v>573</v>
      </c>
      <c r="F19" s="7" t="s">
        <v>98</v>
      </c>
      <c r="G19" s="7" t="s">
        <v>117</v>
      </c>
    </row>
    <row r="20" spans="1:7" x14ac:dyDescent="0.3">
      <c r="A20" s="8" t="s">
        <v>25</v>
      </c>
      <c r="B20" s="9" t="s">
        <v>50</v>
      </c>
      <c r="C20" s="9" t="s">
        <v>71</v>
      </c>
      <c r="D20" s="13" t="s">
        <v>552</v>
      </c>
      <c r="E20" s="9" t="s">
        <v>574</v>
      </c>
      <c r="F20" s="9" t="s">
        <v>99</v>
      </c>
      <c r="G20" s="9"/>
    </row>
    <row r="21" spans="1:7" x14ac:dyDescent="0.3">
      <c r="A21" s="6" t="s">
        <v>26</v>
      </c>
      <c r="B21" s="7" t="s">
        <v>51</v>
      </c>
      <c r="C21" s="7" t="s">
        <v>72</v>
      </c>
      <c r="D21" s="12" t="s">
        <v>553</v>
      </c>
      <c r="E21" s="7" t="s">
        <v>575</v>
      </c>
      <c r="F21" s="7" t="s">
        <v>100</v>
      </c>
      <c r="G21" s="7" t="s">
        <v>118</v>
      </c>
    </row>
    <row r="22" spans="1:7" x14ac:dyDescent="0.3">
      <c r="A22" s="8" t="s">
        <v>27</v>
      </c>
      <c r="B22" s="9" t="s">
        <v>52</v>
      </c>
      <c r="C22" s="9" t="s">
        <v>534</v>
      </c>
      <c r="D22" s="13" t="s">
        <v>554</v>
      </c>
      <c r="E22" s="9" t="s">
        <v>576</v>
      </c>
      <c r="F22" s="9" t="s">
        <v>101</v>
      </c>
      <c r="G22" s="9" t="s">
        <v>115</v>
      </c>
    </row>
    <row r="23" spans="1:7" x14ac:dyDescent="0.3">
      <c r="A23" s="6" t="s">
        <v>28</v>
      </c>
      <c r="B23" s="7" t="s">
        <v>53</v>
      </c>
      <c r="C23" s="7" t="s">
        <v>73</v>
      </c>
      <c r="D23" s="12" t="s">
        <v>555</v>
      </c>
      <c r="E23" s="7" t="s">
        <v>577</v>
      </c>
      <c r="F23" s="7" t="s">
        <v>102</v>
      </c>
      <c r="G23" s="7" t="s">
        <v>116</v>
      </c>
    </row>
    <row r="24" spans="1:7" x14ac:dyDescent="0.3">
      <c r="A24" s="8" t="s">
        <v>29</v>
      </c>
      <c r="B24" s="9" t="s">
        <v>54</v>
      </c>
      <c r="C24" s="9" t="s">
        <v>74</v>
      </c>
      <c r="D24" s="13" t="s">
        <v>556</v>
      </c>
      <c r="E24" s="9" t="s">
        <v>578</v>
      </c>
      <c r="F24" s="9" t="s">
        <v>103</v>
      </c>
      <c r="G24" s="9"/>
    </row>
    <row r="25" spans="1:7" x14ac:dyDescent="0.3">
      <c r="A25" s="6" t="s">
        <v>30</v>
      </c>
      <c r="B25" s="7" t="s">
        <v>55</v>
      </c>
      <c r="C25" s="7" t="s">
        <v>535</v>
      </c>
      <c r="D25" s="12" t="s">
        <v>559</v>
      </c>
      <c r="E25" s="7" t="s">
        <v>579</v>
      </c>
      <c r="F25" s="7" t="s">
        <v>104</v>
      </c>
      <c r="G25" s="7"/>
    </row>
    <row r="26" spans="1:7" x14ac:dyDescent="0.3">
      <c r="A26" s="8" t="s">
        <v>31</v>
      </c>
      <c r="B26" s="9" t="s">
        <v>56</v>
      </c>
      <c r="C26" s="9" t="s">
        <v>75</v>
      </c>
      <c r="D26" s="13" t="s">
        <v>558</v>
      </c>
      <c r="E26" s="9" t="s">
        <v>580</v>
      </c>
      <c r="F26" s="9" t="s">
        <v>105</v>
      </c>
      <c r="G26" s="9" t="s">
        <v>118</v>
      </c>
    </row>
    <row r="27" spans="1:7" x14ac:dyDescent="0.3">
      <c r="A27" s="6" t="s">
        <v>582</v>
      </c>
      <c r="B27" s="7" t="s">
        <v>32</v>
      </c>
      <c r="C27" s="7" t="s">
        <v>57</v>
      </c>
      <c r="D27" s="12" t="s">
        <v>557</v>
      </c>
      <c r="E27" s="7" t="s">
        <v>562</v>
      </c>
      <c r="F27" s="7" t="s">
        <v>85</v>
      </c>
      <c r="G27" s="7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7"/>
  <sheetViews>
    <sheetView topLeftCell="A6" workbookViewId="0">
      <selection activeCell="E11" sqref="E11"/>
    </sheetView>
  </sheetViews>
  <sheetFormatPr defaultRowHeight="14.4" x14ac:dyDescent="0.3"/>
  <cols>
    <col min="1" max="1" width="11.33203125" customWidth="1"/>
    <col min="2" max="2" width="21.5546875" bestFit="1" customWidth="1"/>
    <col min="3" max="3" width="22.33203125" bestFit="1" customWidth="1"/>
    <col min="5" max="5" width="13.109375" customWidth="1"/>
    <col min="6" max="6" width="9.109375" bestFit="1" customWidth="1"/>
    <col min="7" max="7" width="13.88671875" customWidth="1"/>
  </cols>
  <sheetData>
    <row r="1" spans="1:7" x14ac:dyDescent="0.3">
      <c r="A1" s="2" t="s">
        <v>119</v>
      </c>
      <c r="B1" s="2" t="s">
        <v>120</v>
      </c>
      <c r="C1" s="2" t="s">
        <v>121</v>
      </c>
      <c r="D1" s="2" t="s">
        <v>122</v>
      </c>
      <c r="E1" s="2" t="s">
        <v>123</v>
      </c>
      <c r="F1" s="2" t="s">
        <v>124</v>
      </c>
      <c r="G1" s="3" t="s">
        <v>125</v>
      </c>
    </row>
    <row r="2" spans="1:7" x14ac:dyDescent="0.3">
      <c r="A2" s="4" t="s">
        <v>126</v>
      </c>
      <c r="B2" s="5" t="s">
        <v>152</v>
      </c>
      <c r="C2" s="5" t="s">
        <v>177</v>
      </c>
      <c r="D2" s="5" t="s">
        <v>197</v>
      </c>
      <c r="E2" s="5" t="s">
        <v>222</v>
      </c>
      <c r="F2" s="5" t="s">
        <v>240</v>
      </c>
      <c r="G2" s="5" t="s">
        <v>261</v>
      </c>
    </row>
    <row r="3" spans="1:7" x14ac:dyDescent="0.3">
      <c r="A3" s="6" t="s">
        <v>127</v>
      </c>
      <c r="B3" s="7" t="s">
        <v>153</v>
      </c>
      <c r="C3" s="7" t="s">
        <v>178</v>
      </c>
      <c r="D3" s="7" t="s">
        <v>198</v>
      </c>
      <c r="E3" s="7" t="s">
        <v>223</v>
      </c>
      <c r="F3" s="7" t="s">
        <v>241</v>
      </c>
      <c r="G3" s="7" t="s">
        <v>261</v>
      </c>
    </row>
    <row r="4" spans="1:7" x14ac:dyDescent="0.3">
      <c r="A4" s="8" t="s">
        <v>128</v>
      </c>
      <c r="B4" s="9" t="s">
        <v>154</v>
      </c>
      <c r="C4" s="9" t="s">
        <v>179</v>
      </c>
      <c r="D4" s="9" t="s">
        <v>199</v>
      </c>
      <c r="E4" s="9" t="s">
        <v>224</v>
      </c>
      <c r="F4" s="9" t="s">
        <v>242</v>
      </c>
      <c r="G4" s="9" t="s">
        <v>261</v>
      </c>
    </row>
    <row r="5" spans="1:7" x14ac:dyDescent="0.3">
      <c r="A5" s="6" t="s">
        <v>129</v>
      </c>
      <c r="B5" s="7" t="s">
        <v>155</v>
      </c>
      <c r="C5" s="7" t="s">
        <v>180</v>
      </c>
      <c r="D5" s="7" t="s">
        <v>200</v>
      </c>
      <c r="E5" s="7" t="s">
        <v>529</v>
      </c>
      <c r="F5" s="12">
        <v>17.5</v>
      </c>
      <c r="G5" s="7" t="s">
        <v>261</v>
      </c>
    </row>
    <row r="6" spans="1:7" x14ac:dyDescent="0.3">
      <c r="A6" s="8" t="s">
        <v>130</v>
      </c>
      <c r="B6" s="9" t="s">
        <v>156</v>
      </c>
      <c r="C6" s="9" t="s">
        <v>181</v>
      </c>
      <c r="D6" s="9" t="s">
        <v>201</v>
      </c>
      <c r="E6" s="9" t="s">
        <v>225</v>
      </c>
      <c r="F6" s="9" t="s">
        <v>243</v>
      </c>
      <c r="G6" s="9" t="s">
        <v>262</v>
      </c>
    </row>
    <row r="7" spans="1:7" x14ac:dyDescent="0.3">
      <c r="A7" s="6" t="s">
        <v>131</v>
      </c>
      <c r="B7" s="7" t="s">
        <v>157</v>
      </c>
      <c r="C7" s="7" t="s">
        <v>182</v>
      </c>
      <c r="D7" s="7" t="s">
        <v>202</v>
      </c>
      <c r="E7" s="7" t="s">
        <v>226</v>
      </c>
      <c r="F7" s="7" t="s">
        <v>244</v>
      </c>
      <c r="G7" s="7" t="s">
        <v>263</v>
      </c>
    </row>
    <row r="8" spans="1:7" x14ac:dyDescent="0.3">
      <c r="A8" s="8" t="s">
        <v>132</v>
      </c>
      <c r="B8" s="9" t="s">
        <v>158</v>
      </c>
      <c r="C8" s="9" t="s">
        <v>182</v>
      </c>
      <c r="D8" s="9" t="s">
        <v>203</v>
      </c>
      <c r="E8" s="9" t="s">
        <v>227</v>
      </c>
      <c r="F8" s="9" t="s">
        <v>245</v>
      </c>
      <c r="G8" s="9" t="s">
        <v>261</v>
      </c>
    </row>
    <row r="9" spans="1:7" x14ac:dyDescent="0.3">
      <c r="A9" s="6" t="s">
        <v>133</v>
      </c>
      <c r="B9" s="7" t="s">
        <v>159</v>
      </c>
      <c r="C9" s="7" t="s">
        <v>183</v>
      </c>
      <c r="D9" s="7" t="s">
        <v>204</v>
      </c>
      <c r="E9" s="7" t="s">
        <v>228</v>
      </c>
      <c r="F9" s="7" t="s">
        <v>246</v>
      </c>
      <c r="G9" s="7" t="s">
        <v>261</v>
      </c>
    </row>
    <row r="10" spans="1:7" x14ac:dyDescent="0.3">
      <c r="A10" s="8" t="s">
        <v>134</v>
      </c>
      <c r="B10" s="9" t="s">
        <v>160</v>
      </c>
      <c r="C10" s="9" t="s">
        <v>184</v>
      </c>
      <c r="D10" s="9" t="s">
        <v>205</v>
      </c>
      <c r="E10" s="9" t="s">
        <v>229</v>
      </c>
      <c r="F10" s="9" t="s">
        <v>247</v>
      </c>
      <c r="G10" s="9" t="s">
        <v>261</v>
      </c>
    </row>
    <row r="11" spans="1:7" x14ac:dyDescent="0.3">
      <c r="A11" s="6" t="s">
        <v>135</v>
      </c>
      <c r="B11" s="7" t="s">
        <v>161</v>
      </c>
      <c r="C11" s="7" t="s">
        <v>185</v>
      </c>
      <c r="D11" s="7" t="s">
        <v>206</v>
      </c>
      <c r="E11" s="7" t="s">
        <v>230</v>
      </c>
      <c r="F11" s="7" t="s">
        <v>248</v>
      </c>
      <c r="G11" s="7" t="s">
        <v>261</v>
      </c>
    </row>
    <row r="12" spans="1:7" x14ac:dyDescent="0.3">
      <c r="A12" s="8" t="s">
        <v>136</v>
      </c>
      <c r="B12" s="9" t="s">
        <v>162</v>
      </c>
      <c r="C12" s="9" t="s">
        <v>186</v>
      </c>
      <c r="D12" s="9" t="s">
        <v>207</v>
      </c>
      <c r="E12" s="9" t="s">
        <v>231</v>
      </c>
      <c r="F12" s="9" t="s">
        <v>249</v>
      </c>
      <c r="G12" s="9" t="s">
        <v>261</v>
      </c>
    </row>
    <row r="13" spans="1:7" x14ac:dyDescent="0.3">
      <c r="A13" s="6" t="s">
        <v>137</v>
      </c>
      <c r="B13" s="7" t="s">
        <v>163</v>
      </c>
      <c r="C13" s="7" t="s">
        <v>187</v>
      </c>
      <c r="D13" s="7" t="s">
        <v>208</v>
      </c>
      <c r="E13" s="7" t="s">
        <v>232</v>
      </c>
      <c r="F13" s="7" t="s">
        <v>250</v>
      </c>
      <c r="G13" s="7" t="s">
        <v>261</v>
      </c>
    </row>
    <row r="14" spans="1:7" x14ac:dyDescent="0.3">
      <c r="A14" s="8" t="s">
        <v>138</v>
      </c>
      <c r="B14" s="9" t="s">
        <v>163</v>
      </c>
      <c r="C14" s="9" t="s">
        <v>187</v>
      </c>
      <c r="D14" s="9" t="s">
        <v>208</v>
      </c>
      <c r="E14" s="9" t="s">
        <v>232</v>
      </c>
      <c r="F14" s="9" t="s">
        <v>250</v>
      </c>
      <c r="G14" s="9" t="s">
        <v>261</v>
      </c>
    </row>
    <row r="15" spans="1:7" x14ac:dyDescent="0.3">
      <c r="A15" s="6" t="s">
        <v>139</v>
      </c>
      <c r="B15" s="7" t="s">
        <v>164</v>
      </c>
      <c r="C15" s="7" t="s">
        <v>188</v>
      </c>
      <c r="D15" s="7" t="s">
        <v>209</v>
      </c>
      <c r="E15" s="7" t="s">
        <v>224</v>
      </c>
      <c r="F15" s="7" t="s">
        <v>251</v>
      </c>
      <c r="G15" s="7" t="s">
        <v>261</v>
      </c>
    </row>
    <row r="16" spans="1:7" x14ac:dyDescent="0.3">
      <c r="A16" s="8" t="s">
        <v>140</v>
      </c>
      <c r="B16" s="9" t="s">
        <v>165</v>
      </c>
      <c r="C16" s="9" t="s">
        <v>189</v>
      </c>
      <c r="D16" s="9" t="s">
        <v>210</v>
      </c>
      <c r="E16" s="9" t="s">
        <v>233</v>
      </c>
      <c r="F16" s="9" t="s">
        <v>252</v>
      </c>
      <c r="G16" s="9" t="s">
        <v>261</v>
      </c>
    </row>
    <row r="17" spans="1:7" x14ac:dyDescent="0.3">
      <c r="A17" s="6" t="s">
        <v>141</v>
      </c>
      <c r="B17" s="7" t="s">
        <v>166</v>
      </c>
      <c r="C17" s="7" t="s">
        <v>189</v>
      </c>
      <c r="D17" s="7" t="s">
        <v>211</v>
      </c>
      <c r="E17" s="7" t="s">
        <v>233</v>
      </c>
      <c r="F17" s="7" t="s">
        <v>252</v>
      </c>
      <c r="G17" s="7" t="s">
        <v>261</v>
      </c>
    </row>
    <row r="18" spans="1:7" x14ac:dyDescent="0.3">
      <c r="A18" s="8" t="s">
        <v>142</v>
      </c>
      <c r="B18" s="9" t="s">
        <v>167</v>
      </c>
      <c r="C18" s="9" t="s">
        <v>189</v>
      </c>
      <c r="D18" s="9" t="s">
        <v>212</v>
      </c>
      <c r="E18" s="9" t="s">
        <v>233</v>
      </c>
      <c r="F18" s="9" t="s">
        <v>252</v>
      </c>
      <c r="G18" s="9" t="s">
        <v>261</v>
      </c>
    </row>
    <row r="19" spans="1:7" x14ac:dyDescent="0.3">
      <c r="A19" s="6" t="s">
        <v>143</v>
      </c>
      <c r="B19" s="7" t="s">
        <v>168</v>
      </c>
      <c r="C19" s="7" t="s">
        <v>183</v>
      </c>
      <c r="D19" s="7" t="s">
        <v>213</v>
      </c>
      <c r="E19" s="7" t="s">
        <v>230</v>
      </c>
      <c r="F19" s="7" t="s">
        <v>253</v>
      </c>
      <c r="G19" s="7" t="s">
        <v>261</v>
      </c>
    </row>
    <row r="20" spans="1:7" x14ac:dyDescent="0.3">
      <c r="A20" s="8" t="s">
        <v>144</v>
      </c>
      <c r="B20" s="9" t="s">
        <v>169</v>
      </c>
      <c r="C20" s="9" t="s">
        <v>190</v>
      </c>
      <c r="D20" s="9" t="s">
        <v>214</v>
      </c>
      <c r="E20" s="9" t="s">
        <v>234</v>
      </c>
      <c r="F20" s="9" t="s">
        <v>254</v>
      </c>
      <c r="G20" s="9" t="s">
        <v>261</v>
      </c>
    </row>
    <row r="21" spans="1:7" x14ac:dyDescent="0.3">
      <c r="A21" s="6" t="s">
        <v>145</v>
      </c>
      <c r="B21" s="7" t="s">
        <v>170</v>
      </c>
      <c r="C21" s="7" t="s">
        <v>191</v>
      </c>
      <c r="D21" s="7" t="s">
        <v>215</v>
      </c>
      <c r="E21" s="7" t="s">
        <v>235</v>
      </c>
      <c r="F21" s="7" t="s">
        <v>255</v>
      </c>
      <c r="G21" s="7" t="s">
        <v>261</v>
      </c>
    </row>
    <row r="22" spans="1:7" x14ac:dyDescent="0.3">
      <c r="A22" s="8" t="s">
        <v>146</v>
      </c>
      <c r="B22" s="9" t="s">
        <v>171</v>
      </c>
      <c r="C22" s="9" t="s">
        <v>192</v>
      </c>
      <c r="D22" s="9" t="s">
        <v>216</v>
      </c>
      <c r="E22" s="9" t="s">
        <v>581</v>
      </c>
      <c r="F22" s="9" t="s">
        <v>256</v>
      </c>
      <c r="G22" s="9" t="s">
        <v>261</v>
      </c>
    </row>
    <row r="23" spans="1:7" x14ac:dyDescent="0.3">
      <c r="A23" s="6" t="s">
        <v>147</v>
      </c>
      <c r="B23" s="7" t="s">
        <v>172</v>
      </c>
      <c r="C23" s="7" t="s">
        <v>193</v>
      </c>
      <c r="D23" s="7" t="s">
        <v>217</v>
      </c>
      <c r="E23" s="7" t="s">
        <v>236</v>
      </c>
      <c r="F23" s="7" t="s">
        <v>240</v>
      </c>
      <c r="G23" s="7" t="s">
        <v>261</v>
      </c>
    </row>
    <row r="24" spans="1:7" x14ac:dyDescent="0.3">
      <c r="A24" s="8" t="s">
        <v>148</v>
      </c>
      <c r="B24" s="9" t="s">
        <v>173</v>
      </c>
      <c r="C24" s="9" t="s">
        <v>179</v>
      </c>
      <c r="D24" s="9" t="s">
        <v>218</v>
      </c>
      <c r="E24" s="9" t="s">
        <v>237</v>
      </c>
      <c r="F24" s="9" t="s">
        <v>257</v>
      </c>
      <c r="G24" s="9" t="s">
        <v>264</v>
      </c>
    </row>
    <row r="25" spans="1:7" x14ac:dyDescent="0.3">
      <c r="A25" s="6" t="s">
        <v>149</v>
      </c>
      <c r="B25" s="7" t="s">
        <v>174</v>
      </c>
      <c r="C25" s="7" t="s">
        <v>194</v>
      </c>
      <c r="D25" s="7" t="s">
        <v>219</v>
      </c>
      <c r="E25" s="7" t="s">
        <v>238</v>
      </c>
      <c r="F25" s="7" t="s">
        <v>258</v>
      </c>
      <c r="G25" s="7" t="s">
        <v>261</v>
      </c>
    </row>
    <row r="26" spans="1:7" x14ac:dyDescent="0.3">
      <c r="A26" s="8" t="s">
        <v>150</v>
      </c>
      <c r="B26" s="9" t="s">
        <v>175</v>
      </c>
      <c r="C26" s="9" t="s">
        <v>195</v>
      </c>
      <c r="D26" s="9" t="s">
        <v>220</v>
      </c>
      <c r="E26" s="9" t="s">
        <v>239</v>
      </c>
      <c r="F26" s="9" t="s">
        <v>259</v>
      </c>
      <c r="G26" s="9" t="s">
        <v>261</v>
      </c>
    </row>
    <row r="27" spans="1:7" x14ac:dyDescent="0.3">
      <c r="A27" s="6" t="s">
        <v>151</v>
      </c>
      <c r="B27" s="7" t="s">
        <v>176</v>
      </c>
      <c r="C27" s="7" t="s">
        <v>196</v>
      </c>
      <c r="D27" s="7" t="s">
        <v>221</v>
      </c>
      <c r="E27" s="7" t="s">
        <v>237</v>
      </c>
      <c r="F27" s="7" t="s">
        <v>260</v>
      </c>
      <c r="G27" s="7" t="s">
        <v>261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7779A-181B-4690-A33A-148654E2EA6C}">
  <dimension ref="A1:C7"/>
  <sheetViews>
    <sheetView workbookViewId="0">
      <selection activeCell="E10" sqref="E10"/>
    </sheetView>
  </sheetViews>
  <sheetFormatPr defaultRowHeight="14.4" x14ac:dyDescent="0.3"/>
  <cols>
    <col min="1" max="1" width="14.77734375" customWidth="1"/>
    <col min="2" max="2" width="12.5546875" customWidth="1"/>
  </cols>
  <sheetData>
    <row r="1" spans="1:3" ht="15" thickBot="1" x14ac:dyDescent="0.35">
      <c r="A1" s="14" t="s">
        <v>308</v>
      </c>
      <c r="B1" s="15" t="s">
        <v>309</v>
      </c>
      <c r="C1" s="15" t="s">
        <v>310</v>
      </c>
    </row>
    <row r="2" spans="1:3" ht="15" thickTop="1" x14ac:dyDescent="0.3">
      <c r="A2" s="16" t="s">
        <v>311</v>
      </c>
      <c r="B2" s="17" t="s">
        <v>312</v>
      </c>
      <c r="C2" s="17">
        <v>0.92</v>
      </c>
    </row>
    <row r="3" spans="1:3" x14ac:dyDescent="0.3">
      <c r="A3" s="18" t="s">
        <v>311</v>
      </c>
      <c r="B3" s="19" t="s">
        <v>313</v>
      </c>
      <c r="C3" s="19">
        <v>1.35</v>
      </c>
    </row>
    <row r="4" spans="1:3" x14ac:dyDescent="0.3">
      <c r="A4" s="20" t="s">
        <v>311</v>
      </c>
      <c r="B4" s="21" t="s">
        <v>311</v>
      </c>
      <c r="C4" s="21">
        <v>1</v>
      </c>
    </row>
    <row r="5" spans="1:3" x14ac:dyDescent="0.3">
      <c r="A5" s="18"/>
      <c r="B5" s="19"/>
      <c r="C5" s="19"/>
    </row>
    <row r="6" spans="1:3" x14ac:dyDescent="0.3">
      <c r="A6" s="20" t="s">
        <v>311</v>
      </c>
      <c r="B6" s="21" t="s">
        <v>312</v>
      </c>
      <c r="C6" s="21">
        <v>0.92</v>
      </c>
    </row>
    <row r="7" spans="1:3" x14ac:dyDescent="0.3">
      <c r="A7" s="18" t="s">
        <v>311</v>
      </c>
      <c r="B7" s="19" t="s">
        <v>313</v>
      </c>
      <c r="C7" s="19">
        <v>1.35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>
      <selection activeCell="D3" sqref="D3"/>
    </sheetView>
  </sheetViews>
  <sheetFormatPr defaultRowHeight="14.4" x14ac:dyDescent="0.3"/>
  <cols>
    <col min="1" max="1" width="9.109375" customWidth="1"/>
    <col min="2" max="2" width="17.88671875" bestFit="1" customWidth="1"/>
    <col min="3" max="3" width="13" customWidth="1"/>
    <col min="4" max="4" width="9.5546875" customWidth="1"/>
  </cols>
  <sheetData>
    <row r="1" spans="1:4" x14ac:dyDescent="0.3">
      <c r="A1" s="2" t="s">
        <v>265</v>
      </c>
      <c r="B1" s="2" t="s">
        <v>266</v>
      </c>
      <c r="C1" s="2" t="s">
        <v>267</v>
      </c>
      <c r="D1" s="3" t="s">
        <v>4</v>
      </c>
    </row>
    <row r="2" spans="1:4" x14ac:dyDescent="0.3">
      <c r="A2" s="4" t="s">
        <v>268</v>
      </c>
      <c r="B2" s="5" t="s">
        <v>278</v>
      </c>
      <c r="C2" s="5" t="s">
        <v>288</v>
      </c>
      <c r="D2" s="5" t="s">
        <v>298</v>
      </c>
    </row>
    <row r="3" spans="1:4" x14ac:dyDescent="0.3">
      <c r="A3" s="6" t="s">
        <v>269</v>
      </c>
      <c r="B3" s="7" t="s">
        <v>279</v>
      </c>
      <c r="C3" s="7" t="s">
        <v>289</v>
      </c>
      <c r="D3" s="7" t="s">
        <v>299</v>
      </c>
    </row>
    <row r="4" spans="1:4" x14ac:dyDescent="0.3">
      <c r="A4" s="8" t="s">
        <v>270</v>
      </c>
      <c r="B4" s="9" t="s">
        <v>280</v>
      </c>
      <c r="C4" s="9" t="s">
        <v>290</v>
      </c>
      <c r="D4" s="9" t="s">
        <v>300</v>
      </c>
    </row>
    <row r="5" spans="1:4" x14ac:dyDescent="0.3">
      <c r="A5" s="6" t="s">
        <v>271</v>
      </c>
      <c r="B5" s="7" t="s">
        <v>281</v>
      </c>
      <c r="C5" s="7" t="s">
        <v>291</v>
      </c>
      <c r="D5" s="7" t="s">
        <v>301</v>
      </c>
    </row>
    <row r="6" spans="1:4" x14ac:dyDescent="0.3">
      <c r="A6" s="8" t="s">
        <v>272</v>
      </c>
      <c r="B6" s="9" t="s">
        <v>282</v>
      </c>
      <c r="C6" s="9" t="s">
        <v>292</v>
      </c>
      <c r="D6" s="9" t="s">
        <v>302</v>
      </c>
    </row>
    <row r="7" spans="1:4" x14ac:dyDescent="0.3">
      <c r="A7" s="6" t="s">
        <v>273</v>
      </c>
      <c r="B7" s="7" t="s">
        <v>283</v>
      </c>
      <c r="C7" s="7" t="s">
        <v>293</v>
      </c>
      <c r="D7" s="7" t="s">
        <v>303</v>
      </c>
    </row>
    <row r="8" spans="1:4" x14ac:dyDescent="0.3">
      <c r="A8" s="8" t="s">
        <v>274</v>
      </c>
      <c r="B8" s="9" t="s">
        <v>284</v>
      </c>
      <c r="C8" s="9" t="s">
        <v>294</v>
      </c>
      <c r="D8" s="9" t="s">
        <v>304</v>
      </c>
    </row>
    <row r="9" spans="1:4" x14ac:dyDescent="0.3">
      <c r="A9" s="6" t="s">
        <v>275</v>
      </c>
      <c r="B9" s="7" t="s">
        <v>285</v>
      </c>
      <c r="C9" s="7" t="s">
        <v>295</v>
      </c>
      <c r="D9" s="7" t="s">
        <v>305</v>
      </c>
    </row>
    <row r="10" spans="1:4" x14ac:dyDescent="0.3">
      <c r="A10" s="8" t="s">
        <v>276</v>
      </c>
      <c r="B10" s="9" t="s">
        <v>286</v>
      </c>
      <c r="C10" s="9" t="s">
        <v>296</v>
      </c>
      <c r="D10" s="9" t="s">
        <v>306</v>
      </c>
    </row>
    <row r="11" spans="1:4" x14ac:dyDescent="0.3">
      <c r="A11" s="6" t="s">
        <v>277</v>
      </c>
      <c r="B11" s="7" t="s">
        <v>287</v>
      </c>
      <c r="C11" s="7" t="s">
        <v>297</v>
      </c>
      <c r="D11" s="7" t="s">
        <v>307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1"/>
  <sheetViews>
    <sheetView topLeftCell="A12" workbookViewId="0">
      <selection activeCell="K38" sqref="K1:K1048576"/>
    </sheetView>
  </sheetViews>
  <sheetFormatPr defaultRowHeight="14.4" x14ac:dyDescent="0.3"/>
  <cols>
    <col min="1" max="1" width="9.44140625" customWidth="1"/>
    <col min="2" max="2" width="12.77734375" customWidth="1"/>
    <col min="3" max="3" width="9.109375" customWidth="1"/>
    <col min="4" max="4" width="11.5546875" customWidth="1"/>
    <col min="5" max="5" width="10.44140625" customWidth="1"/>
    <col min="6" max="6" width="14" style="1" customWidth="1"/>
    <col min="7" max="7" width="17.21875" customWidth="1"/>
    <col min="8" max="8" width="12.88671875" customWidth="1"/>
  </cols>
  <sheetData>
    <row r="1" spans="1:8" x14ac:dyDescent="0.3">
      <c r="A1" s="2" t="s">
        <v>314</v>
      </c>
      <c r="B1" s="2" t="s">
        <v>0</v>
      </c>
      <c r="C1" s="2" t="s">
        <v>265</v>
      </c>
      <c r="D1" s="2" t="s">
        <v>315</v>
      </c>
      <c r="E1" s="2" t="s">
        <v>316</v>
      </c>
      <c r="F1" s="10" t="s">
        <v>317</v>
      </c>
      <c r="G1" s="2" t="s">
        <v>318</v>
      </c>
      <c r="H1" s="3" t="s">
        <v>319</v>
      </c>
    </row>
    <row r="2" spans="1:8" x14ac:dyDescent="0.3">
      <c r="A2" s="4" t="s">
        <v>320</v>
      </c>
      <c r="B2" s="5" t="s">
        <v>29</v>
      </c>
      <c r="C2" s="5" t="s">
        <v>273</v>
      </c>
      <c r="D2" s="5" t="s">
        <v>370</v>
      </c>
      <c r="E2" s="5" t="s">
        <v>313</v>
      </c>
      <c r="F2" s="11">
        <v>1788.08</v>
      </c>
      <c r="G2" s="5" t="s">
        <v>405</v>
      </c>
      <c r="H2" s="5" t="s">
        <v>409</v>
      </c>
    </row>
    <row r="3" spans="1:8" x14ac:dyDescent="0.3">
      <c r="A3" s="6" t="s">
        <v>321</v>
      </c>
      <c r="B3" s="7" t="s">
        <v>10</v>
      </c>
      <c r="C3" s="7" t="s">
        <v>272</v>
      </c>
      <c r="D3" s="7" t="s">
        <v>371</v>
      </c>
      <c r="E3" s="7" t="s">
        <v>312</v>
      </c>
      <c r="F3" s="12" t="s">
        <v>583</v>
      </c>
      <c r="G3" s="7" t="s">
        <v>406</v>
      </c>
      <c r="H3" s="7" t="s">
        <v>409</v>
      </c>
    </row>
    <row r="4" spans="1:8" x14ac:dyDescent="0.3">
      <c r="A4" s="8" t="s">
        <v>322</v>
      </c>
      <c r="B4" s="9" t="s">
        <v>31</v>
      </c>
      <c r="C4" s="9" t="s">
        <v>270</v>
      </c>
      <c r="D4" s="9" t="s">
        <v>372</v>
      </c>
      <c r="E4" s="9" t="s">
        <v>312</v>
      </c>
      <c r="F4" s="13" t="s">
        <v>583</v>
      </c>
      <c r="G4" s="9" t="s">
        <v>407</v>
      </c>
      <c r="H4" s="9" t="s">
        <v>410</v>
      </c>
    </row>
    <row r="5" spans="1:8" x14ac:dyDescent="0.3">
      <c r="A5" s="6" t="s">
        <v>323</v>
      </c>
      <c r="B5" s="7" t="s">
        <v>15</v>
      </c>
      <c r="C5" s="7" t="s">
        <v>270</v>
      </c>
      <c r="D5" s="7" t="s">
        <v>373</v>
      </c>
      <c r="E5" s="7" t="s">
        <v>312</v>
      </c>
      <c r="F5" s="12">
        <v>322.44150000000002</v>
      </c>
      <c r="G5" s="7" t="s">
        <v>405</v>
      </c>
      <c r="H5" s="7" t="s">
        <v>411</v>
      </c>
    </row>
    <row r="6" spans="1:8" x14ac:dyDescent="0.3">
      <c r="A6" s="8" t="s">
        <v>324</v>
      </c>
      <c r="B6" s="9" t="s">
        <v>29</v>
      </c>
      <c r="C6" s="9" t="s">
        <v>269</v>
      </c>
      <c r="D6" s="9" t="s">
        <v>374</v>
      </c>
      <c r="E6" s="9" t="s">
        <v>313</v>
      </c>
      <c r="F6" s="13">
        <v>161.97300000000001</v>
      </c>
      <c r="G6" s="9" t="s">
        <v>407</v>
      </c>
      <c r="H6" s="9" t="s">
        <v>409</v>
      </c>
    </row>
    <row r="7" spans="1:8" x14ac:dyDescent="0.3">
      <c r="A7" s="6" t="s">
        <v>325</v>
      </c>
      <c r="B7" s="7" t="s">
        <v>24</v>
      </c>
      <c r="C7" s="7" t="s">
        <v>268</v>
      </c>
      <c r="D7" s="7" t="s">
        <v>375</v>
      </c>
      <c r="E7" s="7" t="s">
        <v>313</v>
      </c>
      <c r="F7" s="12" t="s">
        <v>584</v>
      </c>
      <c r="G7" s="7" t="s">
        <v>408</v>
      </c>
      <c r="H7" s="7" t="s">
        <v>412</v>
      </c>
    </row>
    <row r="8" spans="1:8" x14ac:dyDescent="0.3">
      <c r="A8" s="8" t="s">
        <v>326</v>
      </c>
      <c r="B8" s="9" t="s">
        <v>7</v>
      </c>
      <c r="C8" s="9" t="s">
        <v>269</v>
      </c>
      <c r="D8" s="9" t="s">
        <v>376</v>
      </c>
      <c r="E8" s="9" t="s">
        <v>313</v>
      </c>
      <c r="F8" s="13">
        <v>231.93199999999999</v>
      </c>
      <c r="G8" s="9" t="s">
        <v>408</v>
      </c>
      <c r="H8" s="9" t="s">
        <v>412</v>
      </c>
    </row>
    <row r="9" spans="1:8" x14ac:dyDescent="0.3">
      <c r="A9" s="6" t="s">
        <v>327</v>
      </c>
      <c r="B9" s="7" t="s">
        <v>30</v>
      </c>
      <c r="C9" s="7" t="s">
        <v>271</v>
      </c>
      <c r="D9" s="7" t="s">
        <v>377</v>
      </c>
      <c r="E9" s="7" t="s">
        <v>311</v>
      </c>
      <c r="F9" s="12" t="s">
        <v>592</v>
      </c>
      <c r="G9" s="7" t="s">
        <v>408</v>
      </c>
      <c r="H9" s="7" t="s">
        <v>411</v>
      </c>
    </row>
    <row r="10" spans="1:8" x14ac:dyDescent="0.3">
      <c r="A10" s="8" t="s">
        <v>328</v>
      </c>
      <c r="B10" s="9" t="s">
        <v>23</v>
      </c>
      <c r="C10" s="9" t="s">
        <v>276</v>
      </c>
      <c r="D10" s="9" t="s">
        <v>378</v>
      </c>
      <c r="E10" s="9" t="s">
        <v>312</v>
      </c>
      <c r="F10" s="13">
        <v>389.97</v>
      </c>
      <c r="G10" s="9" t="s">
        <v>407</v>
      </c>
      <c r="H10" s="9" t="s">
        <v>410</v>
      </c>
    </row>
    <row r="11" spans="1:8" x14ac:dyDescent="0.3">
      <c r="A11" s="6" t="s">
        <v>329</v>
      </c>
      <c r="B11" s="7" t="s">
        <v>15</v>
      </c>
      <c r="C11" s="7" t="s">
        <v>272</v>
      </c>
      <c r="D11" s="7" t="s">
        <v>373</v>
      </c>
      <c r="E11" s="7" t="s">
        <v>312</v>
      </c>
      <c r="F11" s="12">
        <v>75.980999999999995</v>
      </c>
      <c r="G11" s="7" t="s">
        <v>406</v>
      </c>
      <c r="H11" s="7" t="s">
        <v>409</v>
      </c>
    </row>
    <row r="12" spans="1:8" x14ac:dyDescent="0.3">
      <c r="A12" s="8" t="s">
        <v>330</v>
      </c>
      <c r="B12" s="9" t="s">
        <v>28</v>
      </c>
      <c r="C12" s="9" t="s">
        <v>273</v>
      </c>
      <c r="D12" s="9" t="s">
        <v>379</v>
      </c>
      <c r="E12" s="9" t="s">
        <v>311</v>
      </c>
      <c r="F12" s="13">
        <v>2810.962</v>
      </c>
      <c r="G12" s="9" t="s">
        <v>406</v>
      </c>
      <c r="H12" s="9" t="s">
        <v>410</v>
      </c>
    </row>
    <row r="13" spans="1:8" x14ac:dyDescent="0.3">
      <c r="A13" s="6" t="s">
        <v>331</v>
      </c>
      <c r="B13" s="7" t="s">
        <v>11</v>
      </c>
      <c r="C13" s="7" t="s">
        <v>270</v>
      </c>
      <c r="D13" s="7" t="s">
        <v>374</v>
      </c>
      <c r="E13" s="7" t="s">
        <v>312</v>
      </c>
      <c r="F13" s="12" t="s">
        <v>585</v>
      </c>
      <c r="G13" s="7" t="s">
        <v>408</v>
      </c>
      <c r="H13" s="7" t="s">
        <v>410</v>
      </c>
    </row>
    <row r="14" spans="1:8" x14ac:dyDescent="0.3">
      <c r="A14" s="8" t="s">
        <v>332</v>
      </c>
      <c r="B14" s="9" t="s">
        <v>30</v>
      </c>
      <c r="C14" s="9" t="s">
        <v>277</v>
      </c>
      <c r="D14" s="9" t="s">
        <v>380</v>
      </c>
      <c r="E14" s="9" t="s">
        <v>311</v>
      </c>
      <c r="F14" s="13" t="s">
        <v>591</v>
      </c>
      <c r="G14" s="9" t="s">
        <v>407</v>
      </c>
      <c r="H14" s="9" t="s">
        <v>411</v>
      </c>
    </row>
    <row r="15" spans="1:8" x14ac:dyDescent="0.3">
      <c r="A15" s="6" t="s">
        <v>333</v>
      </c>
      <c r="B15" s="7" t="s">
        <v>11</v>
      </c>
      <c r="C15" s="7" t="s">
        <v>271</v>
      </c>
      <c r="D15" s="7" t="s">
        <v>381</v>
      </c>
      <c r="E15" s="7" t="s">
        <v>311</v>
      </c>
      <c r="F15" s="12">
        <v>100</v>
      </c>
      <c r="G15" s="7" t="s">
        <v>406</v>
      </c>
      <c r="H15" s="7" t="s">
        <v>410</v>
      </c>
    </row>
    <row r="16" spans="1:8" x14ac:dyDescent="0.3">
      <c r="A16" s="8" t="s">
        <v>334</v>
      </c>
      <c r="B16" s="9" t="s">
        <v>17</v>
      </c>
      <c r="C16" s="9" t="s">
        <v>274</v>
      </c>
      <c r="D16" s="9" t="s">
        <v>382</v>
      </c>
      <c r="E16" s="9" t="s">
        <v>311</v>
      </c>
      <c r="F16" s="13" t="s">
        <v>589</v>
      </c>
      <c r="G16" s="9" t="s">
        <v>407</v>
      </c>
      <c r="H16" s="9" t="s">
        <v>409</v>
      </c>
    </row>
    <row r="17" spans="1:8" x14ac:dyDescent="0.3">
      <c r="A17" s="6" t="s">
        <v>335</v>
      </c>
      <c r="B17" s="7" t="s">
        <v>13</v>
      </c>
      <c r="C17" s="7" t="s">
        <v>275</v>
      </c>
      <c r="D17" s="7" t="s">
        <v>383</v>
      </c>
      <c r="E17" s="7" t="s">
        <v>311</v>
      </c>
      <c r="F17" s="12" t="s">
        <v>590</v>
      </c>
      <c r="G17" s="7" t="s">
        <v>407</v>
      </c>
      <c r="H17" s="7" t="s">
        <v>409</v>
      </c>
    </row>
    <row r="18" spans="1:8" x14ac:dyDescent="0.3">
      <c r="A18" s="8" t="s">
        <v>336</v>
      </c>
      <c r="B18" s="9" t="s">
        <v>9</v>
      </c>
      <c r="C18" s="9" t="s">
        <v>276</v>
      </c>
      <c r="D18" s="9" t="s">
        <v>374</v>
      </c>
      <c r="E18" s="9" t="s">
        <v>313</v>
      </c>
      <c r="F18" s="13" t="s">
        <v>588</v>
      </c>
      <c r="G18" s="9" t="s">
        <v>405</v>
      </c>
      <c r="H18" s="9" t="s">
        <v>409</v>
      </c>
    </row>
    <row r="19" spans="1:8" x14ac:dyDescent="0.3">
      <c r="A19" s="6" t="s">
        <v>337</v>
      </c>
      <c r="B19" s="7" t="s">
        <v>26</v>
      </c>
      <c r="C19" s="7" t="s">
        <v>272</v>
      </c>
      <c r="D19" s="7" t="s">
        <v>384</v>
      </c>
      <c r="E19" s="7" t="s">
        <v>311</v>
      </c>
      <c r="F19" s="12">
        <v>542.96400000000006</v>
      </c>
      <c r="G19" s="7" t="s">
        <v>406</v>
      </c>
      <c r="H19" s="7" t="s">
        <v>410</v>
      </c>
    </row>
    <row r="20" spans="1:8" x14ac:dyDescent="0.3">
      <c r="A20" s="8" t="s">
        <v>338</v>
      </c>
      <c r="B20" s="9" t="s">
        <v>9</v>
      </c>
      <c r="C20" s="9" t="s">
        <v>275</v>
      </c>
      <c r="D20" s="9" t="s">
        <v>385</v>
      </c>
      <c r="E20" s="9" t="s">
        <v>311</v>
      </c>
      <c r="F20" s="13">
        <v>496.45349999999996</v>
      </c>
      <c r="G20" s="9" t="s">
        <v>405</v>
      </c>
      <c r="H20" s="9" t="s">
        <v>409</v>
      </c>
    </row>
    <row r="21" spans="1:8" x14ac:dyDescent="0.3">
      <c r="A21" s="6" t="s">
        <v>339</v>
      </c>
      <c r="B21" s="7" t="s">
        <v>27</v>
      </c>
      <c r="C21" s="7" t="s">
        <v>275</v>
      </c>
      <c r="D21" s="7" t="s">
        <v>386</v>
      </c>
      <c r="E21" s="7" t="s">
        <v>311</v>
      </c>
      <c r="F21" s="12">
        <v>253.64999999999998</v>
      </c>
      <c r="G21" s="7" t="s">
        <v>408</v>
      </c>
      <c r="H21" s="7" t="s">
        <v>412</v>
      </c>
    </row>
    <row r="22" spans="1:8" x14ac:dyDescent="0.3">
      <c r="A22" s="8" t="s">
        <v>340</v>
      </c>
      <c r="B22" s="9" t="s">
        <v>22</v>
      </c>
      <c r="C22" s="9" t="s">
        <v>269</v>
      </c>
      <c r="D22" s="9" t="s">
        <v>383</v>
      </c>
      <c r="E22" s="9" t="s">
        <v>311</v>
      </c>
      <c r="F22" s="13">
        <v>239.96999999999997</v>
      </c>
      <c r="G22" s="9" t="s">
        <v>405</v>
      </c>
      <c r="H22" s="9" t="s">
        <v>411</v>
      </c>
    </row>
    <row r="23" spans="1:8" x14ac:dyDescent="0.3">
      <c r="A23" s="6" t="s">
        <v>341</v>
      </c>
      <c r="B23" s="7" t="s">
        <v>11</v>
      </c>
      <c r="C23" s="7" t="s">
        <v>271</v>
      </c>
      <c r="D23" s="7" t="s">
        <v>387</v>
      </c>
      <c r="E23" s="7" t="s">
        <v>313</v>
      </c>
      <c r="F23" s="12" t="s">
        <v>587</v>
      </c>
      <c r="G23" s="7" t="s">
        <v>407</v>
      </c>
      <c r="H23" s="7" t="s">
        <v>412</v>
      </c>
    </row>
    <row r="24" spans="1:8" x14ac:dyDescent="0.3">
      <c r="A24" s="8" t="s">
        <v>342</v>
      </c>
      <c r="B24" s="9" t="s">
        <v>27</v>
      </c>
      <c r="C24" s="9" t="s">
        <v>270</v>
      </c>
      <c r="D24" s="9" t="s">
        <v>374</v>
      </c>
      <c r="E24" s="9" t="s">
        <v>311</v>
      </c>
      <c r="F24" s="13">
        <v>6836.4000000000005</v>
      </c>
      <c r="G24" s="9" t="s">
        <v>405</v>
      </c>
      <c r="H24" s="9" t="s">
        <v>410</v>
      </c>
    </row>
    <row r="25" spans="1:8" x14ac:dyDescent="0.3">
      <c r="A25" s="6" t="s">
        <v>343</v>
      </c>
      <c r="B25" s="7" t="s">
        <v>27</v>
      </c>
      <c r="C25" s="7" t="s">
        <v>276</v>
      </c>
      <c r="D25" s="7" t="s">
        <v>374</v>
      </c>
      <c r="E25" s="7" t="s">
        <v>312</v>
      </c>
      <c r="F25" s="12" t="s">
        <v>586</v>
      </c>
      <c r="G25" s="7" t="s">
        <v>407</v>
      </c>
      <c r="H25" s="7" t="s">
        <v>409</v>
      </c>
    </row>
    <row r="26" spans="1:8" x14ac:dyDescent="0.3">
      <c r="A26" s="8" t="s">
        <v>344</v>
      </c>
      <c r="B26" s="9" t="s">
        <v>24</v>
      </c>
      <c r="C26" s="9" t="s">
        <v>273</v>
      </c>
      <c r="D26" s="9" t="s">
        <v>388</v>
      </c>
      <c r="E26" s="9" t="s">
        <v>311</v>
      </c>
      <c r="F26" s="13">
        <v>4124.96</v>
      </c>
      <c r="G26" s="9" t="s">
        <v>406</v>
      </c>
      <c r="H26" s="9" t="s">
        <v>410</v>
      </c>
    </row>
    <row r="27" spans="1:8" x14ac:dyDescent="0.3">
      <c r="A27" s="6" t="s">
        <v>345</v>
      </c>
      <c r="B27" s="7" t="s">
        <v>10</v>
      </c>
      <c r="C27" s="7" t="s">
        <v>276</v>
      </c>
      <c r="D27" s="7" t="s">
        <v>374</v>
      </c>
      <c r="E27" s="7" t="s">
        <v>313</v>
      </c>
      <c r="F27" s="12">
        <v>3506.1699999999996</v>
      </c>
      <c r="G27" s="7" t="s">
        <v>407</v>
      </c>
      <c r="H27" s="7" t="s">
        <v>412</v>
      </c>
    </row>
    <row r="28" spans="1:8" x14ac:dyDescent="0.3">
      <c r="A28" s="8" t="s">
        <v>346</v>
      </c>
      <c r="B28" s="9" t="s">
        <v>19</v>
      </c>
      <c r="C28" s="9" t="s">
        <v>270</v>
      </c>
      <c r="D28" s="9" t="s">
        <v>389</v>
      </c>
      <c r="E28" s="9" t="s">
        <v>312</v>
      </c>
      <c r="F28" s="13">
        <v>7057.2809999999999</v>
      </c>
      <c r="G28" s="9" t="s">
        <v>405</v>
      </c>
      <c r="H28" s="9" t="s">
        <v>412</v>
      </c>
    </row>
    <row r="29" spans="1:8" x14ac:dyDescent="0.3">
      <c r="A29" s="6" t="s">
        <v>347</v>
      </c>
      <c r="B29" s="7" t="s">
        <v>10</v>
      </c>
      <c r="C29" s="7" t="s">
        <v>269</v>
      </c>
      <c r="D29" s="7" t="s">
        <v>390</v>
      </c>
      <c r="E29" s="7" t="s">
        <v>311</v>
      </c>
      <c r="F29" s="12">
        <v>44.97</v>
      </c>
      <c r="G29" s="7" t="s">
        <v>406</v>
      </c>
      <c r="H29" s="7" t="s">
        <v>409</v>
      </c>
    </row>
    <row r="30" spans="1:8" x14ac:dyDescent="0.3">
      <c r="A30" s="8" t="s">
        <v>348</v>
      </c>
      <c r="B30" s="9" t="s">
        <v>30</v>
      </c>
      <c r="C30" s="9" t="s">
        <v>276</v>
      </c>
      <c r="D30" s="9" t="s">
        <v>389</v>
      </c>
      <c r="E30" s="9" t="s">
        <v>313</v>
      </c>
      <c r="F30" s="13">
        <v>7327.7415000000001</v>
      </c>
      <c r="G30" s="9" t="s">
        <v>407</v>
      </c>
      <c r="H30" s="9" t="s">
        <v>411</v>
      </c>
    </row>
    <row r="31" spans="1:8" x14ac:dyDescent="0.3">
      <c r="A31" s="6" t="s">
        <v>349</v>
      </c>
      <c r="B31" s="7" t="s">
        <v>31</v>
      </c>
      <c r="C31" s="7" t="s">
        <v>272</v>
      </c>
      <c r="D31" s="7" t="s">
        <v>391</v>
      </c>
      <c r="E31" s="7" t="s">
        <v>313</v>
      </c>
      <c r="F31" s="12">
        <v>29.98</v>
      </c>
      <c r="G31" s="7" t="s">
        <v>408</v>
      </c>
      <c r="H31" s="7" t="s">
        <v>410</v>
      </c>
    </row>
    <row r="32" spans="1:8" x14ac:dyDescent="0.3">
      <c r="A32" s="8" t="s">
        <v>350</v>
      </c>
      <c r="B32" s="9" t="s">
        <v>14</v>
      </c>
      <c r="C32" s="9" t="s">
        <v>271</v>
      </c>
      <c r="D32" s="9" t="s">
        <v>392</v>
      </c>
      <c r="E32" s="9" t="s">
        <v>311</v>
      </c>
      <c r="F32" s="13">
        <v>540.91300000000001</v>
      </c>
      <c r="G32" s="9" t="s">
        <v>407</v>
      </c>
      <c r="H32" s="9" t="s">
        <v>409</v>
      </c>
    </row>
    <row r="33" spans="1:8" x14ac:dyDescent="0.3">
      <c r="A33" s="6" t="s">
        <v>351</v>
      </c>
      <c r="B33" s="7" t="s">
        <v>24</v>
      </c>
      <c r="C33" s="7" t="s">
        <v>275</v>
      </c>
      <c r="D33" s="7" t="s">
        <v>393</v>
      </c>
      <c r="E33" s="7" t="s">
        <v>313</v>
      </c>
      <c r="F33" s="12">
        <v>297.96100000000001</v>
      </c>
      <c r="G33" s="7" t="s">
        <v>408</v>
      </c>
      <c r="H33" s="7" t="s">
        <v>412</v>
      </c>
    </row>
    <row r="34" spans="1:8" x14ac:dyDescent="0.3">
      <c r="A34" s="8" t="s">
        <v>352</v>
      </c>
      <c r="B34" s="9" t="s">
        <v>13</v>
      </c>
      <c r="C34" s="9" t="s">
        <v>272</v>
      </c>
      <c r="D34" s="9" t="s">
        <v>370</v>
      </c>
      <c r="E34" s="9" t="s">
        <v>313</v>
      </c>
      <c r="F34" s="13">
        <v>2570.962</v>
      </c>
      <c r="G34" s="9" t="s">
        <v>407</v>
      </c>
      <c r="H34" s="9" t="s">
        <v>411</v>
      </c>
    </row>
    <row r="35" spans="1:8" x14ac:dyDescent="0.3">
      <c r="A35" s="6" t="s">
        <v>353</v>
      </c>
      <c r="B35" s="7" t="s">
        <v>8</v>
      </c>
      <c r="C35" s="7" t="s">
        <v>276</v>
      </c>
      <c r="D35" s="7" t="s">
        <v>394</v>
      </c>
      <c r="E35" s="7" t="s">
        <v>312</v>
      </c>
      <c r="F35" s="12">
        <v>47.490499999999997</v>
      </c>
      <c r="G35" s="7" t="s">
        <v>407</v>
      </c>
      <c r="H35" s="7" t="s">
        <v>409</v>
      </c>
    </row>
    <row r="36" spans="1:8" x14ac:dyDescent="0.3">
      <c r="A36" s="8" t="s">
        <v>354</v>
      </c>
      <c r="B36" s="9" t="s">
        <v>7</v>
      </c>
      <c r="C36" s="9" t="s">
        <v>273</v>
      </c>
      <c r="D36" s="9" t="s">
        <v>395</v>
      </c>
      <c r="E36" s="9" t="s">
        <v>311</v>
      </c>
      <c r="F36" s="13">
        <v>4795.8649999999989</v>
      </c>
      <c r="G36" s="9" t="s">
        <v>405</v>
      </c>
      <c r="H36" s="9" t="s">
        <v>412</v>
      </c>
    </row>
    <row r="37" spans="1:8" x14ac:dyDescent="0.3">
      <c r="A37" s="6" t="s">
        <v>355</v>
      </c>
      <c r="B37" s="7" t="s">
        <v>11</v>
      </c>
      <c r="C37" s="7" t="s">
        <v>268</v>
      </c>
      <c r="D37" s="7" t="s">
        <v>396</v>
      </c>
      <c r="E37" s="7" t="s">
        <v>311</v>
      </c>
      <c r="F37" s="12">
        <v>317.94299999999998</v>
      </c>
      <c r="G37" s="7" t="s">
        <v>408</v>
      </c>
      <c r="H37" s="7" t="s">
        <v>409</v>
      </c>
    </row>
    <row r="38" spans="1:8" x14ac:dyDescent="0.3">
      <c r="A38" s="8" t="s">
        <v>356</v>
      </c>
      <c r="B38" s="9" t="s">
        <v>18</v>
      </c>
      <c r="C38" s="9" t="s">
        <v>272</v>
      </c>
      <c r="D38" s="9" t="s">
        <v>397</v>
      </c>
      <c r="E38" s="9" t="s">
        <v>312</v>
      </c>
      <c r="F38" s="13">
        <v>605.91600000000005</v>
      </c>
      <c r="G38" s="9" t="s">
        <v>407</v>
      </c>
      <c r="H38" s="9" t="s">
        <v>411</v>
      </c>
    </row>
    <row r="39" spans="1:8" x14ac:dyDescent="0.3">
      <c r="A39" s="6" t="s">
        <v>357</v>
      </c>
      <c r="B39" s="7" t="s">
        <v>10</v>
      </c>
      <c r="C39" s="7" t="s">
        <v>272</v>
      </c>
      <c r="D39" s="7" t="s">
        <v>398</v>
      </c>
      <c r="E39" s="7" t="s">
        <v>311</v>
      </c>
      <c r="F39" s="12">
        <v>56.971499999999999</v>
      </c>
      <c r="G39" s="7" t="s">
        <v>406</v>
      </c>
      <c r="H39" s="7" t="s">
        <v>412</v>
      </c>
    </row>
    <row r="40" spans="1:8" x14ac:dyDescent="0.3">
      <c r="A40" s="8" t="s">
        <v>358</v>
      </c>
      <c r="B40" s="9" t="s">
        <v>8</v>
      </c>
      <c r="C40" s="9" t="s">
        <v>272</v>
      </c>
      <c r="D40" s="9" t="s">
        <v>399</v>
      </c>
      <c r="E40" s="9" t="s">
        <v>312</v>
      </c>
      <c r="F40" s="13">
        <v>29.97</v>
      </c>
      <c r="G40" s="9" t="s">
        <v>405</v>
      </c>
      <c r="H40" s="9" t="s">
        <v>411</v>
      </c>
    </row>
    <row r="41" spans="1:8" x14ac:dyDescent="0.3">
      <c r="A41" s="6" t="s">
        <v>359</v>
      </c>
      <c r="B41" s="7" t="s">
        <v>14</v>
      </c>
      <c r="C41" s="7" t="s">
        <v>271</v>
      </c>
      <c r="D41" s="7" t="s">
        <v>374</v>
      </c>
      <c r="E41" s="7" t="s">
        <v>311</v>
      </c>
      <c r="F41" s="12">
        <v>349.77050000000003</v>
      </c>
      <c r="G41" s="7" t="s">
        <v>407</v>
      </c>
      <c r="H41" s="7" t="s">
        <v>409</v>
      </c>
    </row>
    <row r="42" spans="1:8" x14ac:dyDescent="0.3">
      <c r="A42" s="8" t="s">
        <v>360</v>
      </c>
      <c r="B42" s="9" t="s">
        <v>20</v>
      </c>
      <c r="C42" s="9" t="s">
        <v>272</v>
      </c>
      <c r="D42" s="9" t="s">
        <v>380</v>
      </c>
      <c r="E42" s="9" t="s">
        <v>313</v>
      </c>
      <c r="F42" s="13">
        <v>104.96149999999999</v>
      </c>
      <c r="G42" s="9" t="s">
        <v>406</v>
      </c>
      <c r="H42" s="9" t="s">
        <v>409</v>
      </c>
    </row>
    <row r="43" spans="1:8" x14ac:dyDescent="0.3">
      <c r="A43" s="6" t="s">
        <v>361</v>
      </c>
      <c r="B43" s="7" t="s">
        <v>10</v>
      </c>
      <c r="C43" s="7" t="s">
        <v>270</v>
      </c>
      <c r="D43" s="7" t="s">
        <v>400</v>
      </c>
      <c r="E43" s="7" t="s">
        <v>313</v>
      </c>
      <c r="F43" s="12">
        <v>156.19</v>
      </c>
      <c r="G43" s="7" t="s">
        <v>407</v>
      </c>
      <c r="H43" s="7" t="s">
        <v>409</v>
      </c>
    </row>
    <row r="44" spans="1:8" x14ac:dyDescent="0.3">
      <c r="A44" s="8" t="s">
        <v>362</v>
      </c>
      <c r="B44" s="9" t="s">
        <v>20</v>
      </c>
      <c r="C44" s="9" t="s">
        <v>276</v>
      </c>
      <c r="D44" s="9" t="s">
        <v>374</v>
      </c>
      <c r="E44" s="9" t="s">
        <v>311</v>
      </c>
      <c r="F44" s="13">
        <v>4344.96</v>
      </c>
      <c r="G44" s="9" t="s">
        <v>406</v>
      </c>
      <c r="H44" s="9" t="s">
        <v>412</v>
      </c>
    </row>
    <row r="45" spans="1:8" x14ac:dyDescent="0.3">
      <c r="A45" s="6" t="s">
        <v>363</v>
      </c>
      <c r="B45" s="7" t="s">
        <v>31</v>
      </c>
      <c r="C45" s="7" t="s">
        <v>270</v>
      </c>
      <c r="D45" s="7" t="s">
        <v>374</v>
      </c>
      <c r="E45" s="7" t="s">
        <v>312</v>
      </c>
      <c r="F45" s="12">
        <v>489.90999999999997</v>
      </c>
      <c r="G45" s="7" t="s">
        <v>405</v>
      </c>
      <c r="H45" s="7" t="s">
        <v>411</v>
      </c>
    </row>
    <row r="46" spans="1:8" x14ac:dyDescent="0.3">
      <c r="A46" s="8" t="s">
        <v>364</v>
      </c>
      <c r="B46" s="9" t="s">
        <v>26</v>
      </c>
      <c r="C46" s="9" t="s">
        <v>268</v>
      </c>
      <c r="D46" s="9" t="s">
        <v>401</v>
      </c>
      <c r="E46" s="9" t="s">
        <v>312</v>
      </c>
      <c r="F46" s="13">
        <v>59.97</v>
      </c>
      <c r="G46" s="9" t="s">
        <v>408</v>
      </c>
      <c r="H46" s="9" t="s">
        <v>409</v>
      </c>
    </row>
    <row r="47" spans="1:8" x14ac:dyDescent="0.3">
      <c r="A47" s="6" t="s">
        <v>365</v>
      </c>
      <c r="B47" s="7" t="s">
        <v>17</v>
      </c>
      <c r="C47" s="7" t="s">
        <v>272</v>
      </c>
      <c r="D47" s="7" t="s">
        <v>384</v>
      </c>
      <c r="E47" s="7" t="s">
        <v>312</v>
      </c>
      <c r="F47" s="12">
        <v>4077.98</v>
      </c>
      <c r="G47" s="7" t="s">
        <v>405</v>
      </c>
      <c r="H47" s="7" t="s">
        <v>410</v>
      </c>
    </row>
    <row r="48" spans="1:8" x14ac:dyDescent="0.3">
      <c r="A48" s="8" t="s">
        <v>366</v>
      </c>
      <c r="B48" s="9" t="s">
        <v>18</v>
      </c>
      <c r="C48" s="9" t="s">
        <v>273</v>
      </c>
      <c r="D48" s="9" t="s">
        <v>402</v>
      </c>
      <c r="E48" s="9" t="s">
        <v>313</v>
      </c>
      <c r="F48" s="13">
        <v>151.98099999999999</v>
      </c>
      <c r="G48" s="9" t="s">
        <v>406</v>
      </c>
      <c r="H48" s="9" t="s">
        <v>409</v>
      </c>
    </row>
    <row r="49" spans="1:8" x14ac:dyDescent="0.3">
      <c r="A49" s="6" t="s">
        <v>367</v>
      </c>
      <c r="B49" s="7" t="s">
        <v>24</v>
      </c>
      <c r="C49" s="7" t="s">
        <v>272</v>
      </c>
      <c r="D49" s="7" t="s">
        <v>403</v>
      </c>
      <c r="E49" s="7" t="s">
        <v>312</v>
      </c>
      <c r="F49" s="12">
        <v>6077.973</v>
      </c>
      <c r="G49" s="7" t="s">
        <v>408</v>
      </c>
      <c r="H49" s="7" t="s">
        <v>409</v>
      </c>
    </row>
    <row r="50" spans="1:8" x14ac:dyDescent="0.3">
      <c r="A50" s="8" t="s">
        <v>368</v>
      </c>
      <c r="B50" s="9" t="s">
        <v>11</v>
      </c>
      <c r="C50" s="9" t="s">
        <v>276</v>
      </c>
      <c r="D50" s="9" t="s">
        <v>382</v>
      </c>
      <c r="E50" s="9" t="s">
        <v>311</v>
      </c>
      <c r="F50" s="13" t="s">
        <v>593</v>
      </c>
      <c r="G50" s="9" t="s">
        <v>406</v>
      </c>
      <c r="H50" s="9" t="s">
        <v>412</v>
      </c>
    </row>
    <row r="51" spans="1:8" x14ac:dyDescent="0.3">
      <c r="A51" s="6" t="s">
        <v>369</v>
      </c>
      <c r="B51" s="7" t="s">
        <v>30</v>
      </c>
      <c r="C51" s="7" t="s">
        <v>269</v>
      </c>
      <c r="D51" s="7" t="s">
        <v>404</v>
      </c>
      <c r="E51" s="7" t="s">
        <v>311</v>
      </c>
      <c r="F51" s="12" t="s">
        <v>594</v>
      </c>
      <c r="G51" s="7" t="s">
        <v>408</v>
      </c>
      <c r="H51" s="7" t="s">
        <v>410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2"/>
  <sheetViews>
    <sheetView tabSelected="1" workbookViewId="0">
      <selection activeCell="I7" sqref="I7"/>
    </sheetView>
  </sheetViews>
  <sheetFormatPr defaultRowHeight="14.4" x14ac:dyDescent="0.3"/>
  <cols>
    <col min="1" max="1" width="12.88671875" customWidth="1"/>
    <col min="2" max="2" width="9.44140625" customWidth="1"/>
    <col min="3" max="3" width="11.33203125" customWidth="1"/>
    <col min="4" max="4" width="10.21875" customWidth="1"/>
    <col min="5" max="5" width="11.44140625" bestFit="1" customWidth="1"/>
    <col min="6" max="6" width="10.21875" customWidth="1"/>
    <col min="7" max="7" width="13.21875" customWidth="1"/>
  </cols>
  <sheetData>
    <row r="1" spans="1:7" x14ac:dyDescent="0.3">
      <c r="A1" s="2" t="s">
        <v>413</v>
      </c>
      <c r="B1" s="2" t="s">
        <v>314</v>
      </c>
      <c r="C1" s="2" t="s">
        <v>119</v>
      </c>
      <c r="D1" s="2" t="s">
        <v>414</v>
      </c>
      <c r="E1" s="2" t="s">
        <v>123</v>
      </c>
      <c r="F1" s="2" t="s">
        <v>415</v>
      </c>
      <c r="G1" s="3" t="s">
        <v>416</v>
      </c>
    </row>
    <row r="2" spans="1:7" x14ac:dyDescent="0.3">
      <c r="A2" s="4" t="s">
        <v>417</v>
      </c>
      <c r="B2" s="5" t="s">
        <v>320</v>
      </c>
      <c r="C2" s="5" t="s">
        <v>146</v>
      </c>
      <c r="D2" s="5" t="s">
        <v>518</v>
      </c>
      <c r="E2" s="5" t="str">
        <f>VLOOKUP(OrderLines!$C2,Products!$A$1:$G$27,5,FALSE)</f>
        <v>EUR 899.00</v>
      </c>
      <c r="F2" s="5" t="s">
        <v>524</v>
      </c>
      <c r="G2" s="5" t="s">
        <v>527</v>
      </c>
    </row>
    <row r="3" spans="1:7" x14ac:dyDescent="0.3">
      <c r="A3" s="6" t="s">
        <v>418</v>
      </c>
      <c r="B3" s="7" t="s">
        <v>320</v>
      </c>
      <c r="C3" s="7" t="s">
        <v>135</v>
      </c>
      <c r="D3" s="7" t="s">
        <v>518</v>
      </c>
      <c r="E3" s="7" t="str">
        <f>VLOOKUP(OrderLines!$C3,Products!$A$1:$G$27,5,FALSE)</f>
        <v>USD 39.99</v>
      </c>
      <c r="F3" s="7" t="s">
        <v>525</v>
      </c>
      <c r="G3" s="7"/>
    </row>
    <row r="4" spans="1:7" x14ac:dyDescent="0.3">
      <c r="A4" s="8" t="s">
        <v>419</v>
      </c>
      <c r="B4" s="9" t="s">
        <v>321</v>
      </c>
      <c r="C4" s="9" t="s">
        <v>142</v>
      </c>
      <c r="D4" s="9" t="s">
        <v>519</v>
      </c>
      <c r="E4" s="9" t="str">
        <f>VLOOKUP(OrderLines!$C4,Products!$A$1:$G$27,5,FALSE)</f>
        <v>USD 129.99</v>
      </c>
      <c r="F4" s="9" t="s">
        <v>524</v>
      </c>
      <c r="G4" s="9" t="s">
        <v>527</v>
      </c>
    </row>
    <row r="5" spans="1:7" x14ac:dyDescent="0.3">
      <c r="A5" s="6" t="s">
        <v>420</v>
      </c>
      <c r="B5" s="7" t="s">
        <v>321</v>
      </c>
      <c r="C5" s="7" t="s">
        <v>136</v>
      </c>
      <c r="D5" s="7" t="s">
        <v>520</v>
      </c>
      <c r="E5" s="7" t="str">
        <f>VLOOKUP(OrderLines!$C5,Products!$A$1:$G$27,5,FALSE)</f>
        <v>USD 69.99</v>
      </c>
      <c r="F5" s="7"/>
      <c r="G5" s="7" t="s">
        <v>528</v>
      </c>
    </row>
    <row r="6" spans="1:7" x14ac:dyDescent="0.3">
      <c r="A6" s="8" t="s">
        <v>421</v>
      </c>
      <c r="B6" s="9" t="s">
        <v>321</v>
      </c>
      <c r="C6" s="9" t="s">
        <v>129</v>
      </c>
      <c r="D6" s="9" t="s">
        <v>521</v>
      </c>
      <c r="E6" s="9" t="str">
        <f>VLOOKUP(OrderLines!$C6,Products!$A$1:$G$27,5,FALSE)</f>
        <v>EUR 19.99</v>
      </c>
      <c r="F6" s="9"/>
      <c r="G6" s="9" t="s">
        <v>527</v>
      </c>
    </row>
    <row r="7" spans="1:7" x14ac:dyDescent="0.3">
      <c r="A7" s="6" t="s">
        <v>422</v>
      </c>
      <c r="B7" s="7" t="s">
        <v>322</v>
      </c>
      <c r="C7" s="7" t="s">
        <v>136</v>
      </c>
      <c r="D7" s="7" t="s">
        <v>518</v>
      </c>
      <c r="E7" s="7" t="str">
        <f>VLOOKUP(OrderLines!$C7,Products!$A$1:$G$27,5,FALSE)</f>
        <v>USD 69.99</v>
      </c>
      <c r="F7" s="7" t="s">
        <v>524</v>
      </c>
      <c r="G7" s="7" t="s">
        <v>528</v>
      </c>
    </row>
    <row r="8" spans="1:7" x14ac:dyDescent="0.3">
      <c r="A8" s="8" t="s">
        <v>423</v>
      </c>
      <c r="B8" s="9" t="s">
        <v>322</v>
      </c>
      <c r="C8" s="9" t="s">
        <v>127</v>
      </c>
      <c r="D8" s="9" t="s">
        <v>520</v>
      </c>
      <c r="E8" s="9" t="str">
        <f>VLOOKUP(OrderLines!$C8,Products!$A$1:$G$27,5,FALSE)</f>
        <v>USD 2499.00</v>
      </c>
      <c r="F8" s="9" t="s">
        <v>524</v>
      </c>
      <c r="G8" s="9" t="s">
        <v>528</v>
      </c>
    </row>
    <row r="9" spans="1:7" x14ac:dyDescent="0.3">
      <c r="A9" s="6" t="s">
        <v>424</v>
      </c>
      <c r="B9" s="7" t="s">
        <v>323</v>
      </c>
      <c r="C9" s="7" t="s">
        <v>134</v>
      </c>
      <c r="D9" s="7" t="s">
        <v>522</v>
      </c>
      <c r="E9" s="7" t="str">
        <f>VLOOKUP(OrderLines!$C9,Products!$A$1:$G$27,5,FALSE)</f>
        <v>USD 49.99</v>
      </c>
      <c r="F9" s="7" t="s">
        <v>524</v>
      </c>
      <c r="G9" s="7" t="s">
        <v>527</v>
      </c>
    </row>
    <row r="10" spans="1:7" x14ac:dyDescent="0.3">
      <c r="A10" s="8" t="s">
        <v>425</v>
      </c>
      <c r="B10" s="9" t="s">
        <v>323</v>
      </c>
      <c r="C10" s="9" t="s">
        <v>138</v>
      </c>
      <c r="D10" s="9" t="s">
        <v>522</v>
      </c>
      <c r="E10" s="9" t="str">
        <f>VLOOKUP(OrderLines!$C10,Products!$A$1:$G$27,5,FALSE)</f>
        <v>USD 59.99</v>
      </c>
      <c r="F10" s="9"/>
      <c r="G10" s="9"/>
    </row>
    <row r="11" spans="1:7" x14ac:dyDescent="0.3">
      <c r="A11" s="6" t="s">
        <v>426</v>
      </c>
      <c r="B11" s="7" t="s">
        <v>324</v>
      </c>
      <c r="C11" s="7" t="s">
        <v>138</v>
      </c>
      <c r="D11" s="7" t="s">
        <v>521</v>
      </c>
      <c r="E11" s="7" t="str">
        <f>VLOOKUP(OrderLines!$C11,Products!$A$1:$G$27,5,FALSE)</f>
        <v>USD 59.99</v>
      </c>
      <c r="F11" s="7" t="s">
        <v>526</v>
      </c>
      <c r="G11" s="7" t="s">
        <v>528</v>
      </c>
    </row>
    <row r="12" spans="1:7" x14ac:dyDescent="0.3">
      <c r="A12" s="8" t="s">
        <v>427</v>
      </c>
      <c r="B12" s="9" t="s">
        <v>325</v>
      </c>
      <c r="C12" s="9" t="s">
        <v>139</v>
      </c>
      <c r="D12" s="9" t="s">
        <v>518</v>
      </c>
      <c r="E12" s="9" t="str">
        <f>VLOOKUP(OrderLines!$C12,Products!$A$1:$G$27,5,FALSE)</f>
        <v>USD 79.99</v>
      </c>
      <c r="F12" s="9" t="s">
        <v>524</v>
      </c>
      <c r="G12" s="9" t="s">
        <v>528</v>
      </c>
    </row>
    <row r="13" spans="1:7" x14ac:dyDescent="0.3">
      <c r="A13" s="6" t="s">
        <v>428</v>
      </c>
      <c r="B13" s="7" t="s">
        <v>325</v>
      </c>
      <c r="C13" s="7" t="s">
        <v>132</v>
      </c>
      <c r="D13" s="7" t="s">
        <v>521</v>
      </c>
      <c r="E13" s="7" t="str">
        <f>VLOOKUP(OrderLines!$C13,Products!$A$1:$G$27,5,FALSE)</f>
        <v>USD 59.00</v>
      </c>
      <c r="F13" s="7"/>
      <c r="G13" s="7" t="s">
        <v>527</v>
      </c>
    </row>
    <row r="14" spans="1:7" x14ac:dyDescent="0.3">
      <c r="A14" s="8" t="s">
        <v>429</v>
      </c>
      <c r="B14" s="9" t="s">
        <v>326</v>
      </c>
      <c r="C14" s="9" t="s">
        <v>135</v>
      </c>
      <c r="D14" s="9" t="s">
        <v>523</v>
      </c>
      <c r="E14" s="9" t="str">
        <f>VLOOKUP(OrderLines!$C14,Products!$A$1:$G$27,5,FALSE)</f>
        <v>USD 39.99</v>
      </c>
      <c r="F14" s="9" t="s">
        <v>524</v>
      </c>
      <c r="G14" s="9" t="s">
        <v>528</v>
      </c>
    </row>
    <row r="15" spans="1:7" x14ac:dyDescent="0.3">
      <c r="A15" s="6" t="s">
        <v>430</v>
      </c>
      <c r="B15" s="7" t="s">
        <v>326</v>
      </c>
      <c r="C15" s="7" t="s">
        <v>144</v>
      </c>
      <c r="D15" s="7" t="s">
        <v>519</v>
      </c>
      <c r="E15" s="7" t="str">
        <f>VLOOKUP(OrderLines!$C15,Products!$A$1:$G$27,5,FALSE)</f>
        <v>USD 29.99</v>
      </c>
      <c r="F15" s="7"/>
      <c r="G15" s="7" t="s">
        <v>527</v>
      </c>
    </row>
    <row r="16" spans="1:7" x14ac:dyDescent="0.3">
      <c r="A16" s="8" t="s">
        <v>431</v>
      </c>
      <c r="B16" s="9" t="s">
        <v>326</v>
      </c>
      <c r="C16" s="9" t="s">
        <v>129</v>
      </c>
      <c r="D16" s="9" t="s">
        <v>520</v>
      </c>
      <c r="E16" s="9" t="str">
        <f>VLOOKUP(OrderLines!$C16,Products!$A$1:$G$27,5,FALSE)</f>
        <v>EUR 19.99</v>
      </c>
      <c r="F16" s="9" t="s">
        <v>525</v>
      </c>
      <c r="G16" s="9" t="s">
        <v>527</v>
      </c>
    </row>
    <row r="17" spans="1:7" x14ac:dyDescent="0.3">
      <c r="A17" s="6" t="s">
        <v>432</v>
      </c>
      <c r="B17" s="7" t="s">
        <v>327</v>
      </c>
      <c r="C17" s="7" t="s">
        <v>128</v>
      </c>
      <c r="D17" s="7" t="s">
        <v>518</v>
      </c>
      <c r="E17" s="7" t="str">
        <f>VLOOKUP(OrderLines!$C17,Products!$A$1:$G$27,5,FALSE)</f>
        <v>USD 79.99</v>
      </c>
      <c r="F17" s="7"/>
      <c r="G17" s="7" t="s">
        <v>527</v>
      </c>
    </row>
    <row r="18" spans="1:7" x14ac:dyDescent="0.3">
      <c r="A18" s="8" t="s">
        <v>433</v>
      </c>
      <c r="B18" s="9" t="s">
        <v>327</v>
      </c>
      <c r="C18" s="9" t="s">
        <v>143</v>
      </c>
      <c r="D18" s="9" t="s">
        <v>522</v>
      </c>
      <c r="E18" s="9" t="str">
        <f>VLOOKUP(OrderLines!$C18,Products!$A$1:$G$27,5,FALSE)</f>
        <v>USD 39.99</v>
      </c>
      <c r="F18" s="9"/>
      <c r="G18" s="9"/>
    </row>
    <row r="19" spans="1:7" x14ac:dyDescent="0.3">
      <c r="A19" s="6" t="s">
        <v>434</v>
      </c>
      <c r="B19" s="7" t="s">
        <v>328</v>
      </c>
      <c r="C19" s="7" t="s">
        <v>141</v>
      </c>
      <c r="D19" s="7" t="s">
        <v>522</v>
      </c>
      <c r="E19" s="7" t="str">
        <f>VLOOKUP(OrderLines!$C19,Products!$A$1:$G$27,5,FALSE)</f>
        <v>USD 129.99</v>
      </c>
      <c r="F19" s="7" t="s">
        <v>525</v>
      </c>
      <c r="G19" s="7" t="s">
        <v>527</v>
      </c>
    </row>
    <row r="20" spans="1:7" x14ac:dyDescent="0.3">
      <c r="A20" s="8" t="s">
        <v>435</v>
      </c>
      <c r="B20" s="9" t="s">
        <v>329</v>
      </c>
      <c r="C20" s="9" t="s">
        <v>135</v>
      </c>
      <c r="D20" s="9" t="s">
        <v>519</v>
      </c>
      <c r="E20" s="9" t="str">
        <f>VLOOKUP(OrderLines!$C20,Products!$A$1:$G$27,5,FALSE)</f>
        <v>USD 39.99</v>
      </c>
      <c r="F20" s="9" t="s">
        <v>524</v>
      </c>
      <c r="G20" s="9" t="s">
        <v>528</v>
      </c>
    </row>
    <row r="21" spans="1:7" x14ac:dyDescent="0.3">
      <c r="A21" s="6" t="s">
        <v>436</v>
      </c>
      <c r="B21" s="7" t="s">
        <v>330</v>
      </c>
      <c r="C21" s="7" t="s">
        <v>144</v>
      </c>
      <c r="D21" s="7" t="s">
        <v>523</v>
      </c>
      <c r="E21" s="7" t="str">
        <f>VLOOKUP(OrderLines!$C21,Products!$A$1:$G$27,5,FALSE)</f>
        <v>USD 29.99</v>
      </c>
      <c r="F21" s="7" t="s">
        <v>524</v>
      </c>
      <c r="G21" s="7" t="s">
        <v>528</v>
      </c>
    </row>
    <row r="22" spans="1:7" x14ac:dyDescent="0.3">
      <c r="A22" s="8" t="s">
        <v>437</v>
      </c>
      <c r="B22" s="9" t="s">
        <v>330</v>
      </c>
      <c r="C22" s="9" t="s">
        <v>146</v>
      </c>
      <c r="D22" s="9" t="s">
        <v>521</v>
      </c>
      <c r="E22" s="9" t="str">
        <f>VLOOKUP(OrderLines!$C22,Products!$A$1:$G$27,5,FALSE)</f>
        <v>EUR 899.00</v>
      </c>
      <c r="F22" s="9"/>
      <c r="G22" s="9" t="s">
        <v>527</v>
      </c>
    </row>
    <row r="23" spans="1:7" x14ac:dyDescent="0.3">
      <c r="A23" s="6" t="s">
        <v>438</v>
      </c>
      <c r="B23" s="7" t="s">
        <v>331</v>
      </c>
      <c r="C23" s="7" t="s">
        <v>133</v>
      </c>
      <c r="D23" s="7" t="s">
        <v>523</v>
      </c>
      <c r="E23" s="7" t="str">
        <f>VLOOKUP(OrderLines!$C23,Products!$A$1:$G$27,5,FALSE)</f>
        <v>USD 25.00</v>
      </c>
      <c r="F23" s="7" t="s">
        <v>525</v>
      </c>
      <c r="G23" s="7" t="s">
        <v>528</v>
      </c>
    </row>
    <row r="24" spans="1:7" x14ac:dyDescent="0.3">
      <c r="A24" s="8" t="s">
        <v>439</v>
      </c>
      <c r="B24" s="9" t="s">
        <v>332</v>
      </c>
      <c r="C24" s="9" t="s">
        <v>142</v>
      </c>
      <c r="D24" s="9" t="s">
        <v>518</v>
      </c>
      <c r="E24" s="9" t="str">
        <f>VLOOKUP(OrderLines!$C24,Products!$A$1:$G$27,5,FALSE)</f>
        <v>USD 129.99</v>
      </c>
      <c r="F24" s="9" t="s">
        <v>525</v>
      </c>
      <c r="G24" s="9"/>
    </row>
    <row r="25" spans="1:7" x14ac:dyDescent="0.3">
      <c r="A25" s="6" t="s">
        <v>440</v>
      </c>
      <c r="B25" s="7" t="s">
        <v>332</v>
      </c>
      <c r="C25" s="7" t="s">
        <v>147</v>
      </c>
      <c r="D25" s="7" t="s">
        <v>520</v>
      </c>
      <c r="E25" s="7" t="str">
        <f>VLOOKUP(OrderLines!$C25,Products!$A$1:$G$27,5,FALSE)</f>
        <v>USD 1899.00</v>
      </c>
      <c r="F25" s="7" t="s">
        <v>524</v>
      </c>
      <c r="G25" s="7" t="s">
        <v>528</v>
      </c>
    </row>
    <row r="26" spans="1:7" x14ac:dyDescent="0.3">
      <c r="A26" s="8" t="s">
        <v>441</v>
      </c>
      <c r="B26" s="9" t="s">
        <v>333</v>
      </c>
      <c r="C26" s="9" t="s">
        <v>133</v>
      </c>
      <c r="D26" s="9" t="s">
        <v>523</v>
      </c>
      <c r="E26" s="9" t="str">
        <f>VLOOKUP(OrderLines!$C26,Products!$A$1:$G$27,5,FALSE)</f>
        <v>USD 25.00</v>
      </c>
      <c r="F26" s="9"/>
      <c r="G26" s="9" t="s">
        <v>527</v>
      </c>
    </row>
    <row r="27" spans="1:7" x14ac:dyDescent="0.3">
      <c r="A27" s="6" t="s">
        <v>442</v>
      </c>
      <c r="B27" s="7" t="s">
        <v>334</v>
      </c>
      <c r="C27" s="7" t="s">
        <v>128</v>
      </c>
      <c r="D27" s="7" t="s">
        <v>520</v>
      </c>
      <c r="E27" s="7" t="str">
        <f>VLOOKUP(OrderLines!$C27,Products!$A$1:$G$27,5,FALSE)</f>
        <v>USD 79.99</v>
      </c>
      <c r="F27" s="7" t="s">
        <v>524</v>
      </c>
      <c r="G27" s="7" t="s">
        <v>528</v>
      </c>
    </row>
    <row r="28" spans="1:7" x14ac:dyDescent="0.3">
      <c r="A28" s="8" t="s">
        <v>443</v>
      </c>
      <c r="B28" s="9" t="s">
        <v>334</v>
      </c>
      <c r="C28" s="9" t="s">
        <v>149</v>
      </c>
      <c r="D28" s="9" t="s">
        <v>520</v>
      </c>
      <c r="E28" s="9" t="str">
        <f>VLOOKUP(OrderLines!$C28,Products!$A$1:$G$27,5,FALSE)</f>
        <v>USD 14.99</v>
      </c>
      <c r="F28" s="9" t="s">
        <v>524</v>
      </c>
      <c r="G28" s="9"/>
    </row>
    <row r="29" spans="1:7" x14ac:dyDescent="0.3">
      <c r="A29" s="6" t="s">
        <v>444</v>
      </c>
      <c r="B29" s="7" t="s">
        <v>334</v>
      </c>
      <c r="C29" s="7" t="s">
        <v>133</v>
      </c>
      <c r="D29" s="7" t="s">
        <v>521</v>
      </c>
      <c r="E29" s="7" t="str">
        <f>VLOOKUP(OrderLines!$C29,Products!$A$1:$G$27,5,FALSE)</f>
        <v>USD 25.00</v>
      </c>
      <c r="F29" s="7" t="s">
        <v>524</v>
      </c>
      <c r="G29" s="7"/>
    </row>
    <row r="30" spans="1:7" x14ac:dyDescent="0.3">
      <c r="A30" s="8" t="s">
        <v>445</v>
      </c>
      <c r="B30" s="9" t="s">
        <v>335</v>
      </c>
      <c r="C30" s="9" t="s">
        <v>145</v>
      </c>
      <c r="D30" s="9" t="s">
        <v>519</v>
      </c>
      <c r="E30" s="9" t="str">
        <f>VLOOKUP(OrderLines!$C30,Products!$A$1:$G$27,5,FALSE)</f>
        <v>USD 9.99</v>
      </c>
      <c r="F30" s="9" t="s">
        <v>525</v>
      </c>
      <c r="G30" s="9"/>
    </row>
    <row r="31" spans="1:7" x14ac:dyDescent="0.3">
      <c r="A31" s="6" t="s">
        <v>446</v>
      </c>
      <c r="B31" s="7" t="s">
        <v>335</v>
      </c>
      <c r="C31" s="7" t="s">
        <v>133</v>
      </c>
      <c r="D31" s="7" t="s">
        <v>520</v>
      </c>
      <c r="E31" s="7" t="str">
        <f>VLOOKUP(OrderLines!$C31,Products!$A$1:$G$27,5,FALSE)</f>
        <v>USD 25.00</v>
      </c>
      <c r="F31" s="7" t="s">
        <v>525</v>
      </c>
      <c r="G31" s="7" t="s">
        <v>527</v>
      </c>
    </row>
    <row r="32" spans="1:7" x14ac:dyDescent="0.3">
      <c r="A32" s="8" t="s">
        <v>447</v>
      </c>
      <c r="B32" s="9" t="s">
        <v>336</v>
      </c>
      <c r="C32" s="9" t="s">
        <v>131</v>
      </c>
      <c r="D32" s="9" t="s">
        <v>519</v>
      </c>
      <c r="E32" s="9" t="str">
        <f>VLOOKUP(OrderLines!$C32,Products!$A$1:$G$27,5,FALSE)</f>
        <v>USD 89.00</v>
      </c>
      <c r="F32" s="9" t="s">
        <v>524</v>
      </c>
      <c r="G32" s="9" t="s">
        <v>528</v>
      </c>
    </row>
    <row r="33" spans="1:7" x14ac:dyDescent="0.3">
      <c r="A33" s="6" t="s">
        <v>448</v>
      </c>
      <c r="B33" s="7" t="s">
        <v>336</v>
      </c>
      <c r="C33" s="7" t="s">
        <v>149</v>
      </c>
      <c r="D33" s="7" t="s">
        <v>521</v>
      </c>
      <c r="E33" s="7" t="str">
        <f>VLOOKUP(OrderLines!$C33,Products!$A$1:$G$27,5,FALSE)</f>
        <v>USD 14.99</v>
      </c>
      <c r="F33" s="7" t="s">
        <v>526</v>
      </c>
      <c r="G33" s="7"/>
    </row>
    <row r="34" spans="1:7" x14ac:dyDescent="0.3">
      <c r="A34" s="8" t="s">
        <v>449</v>
      </c>
      <c r="B34" s="9" t="s">
        <v>336</v>
      </c>
      <c r="C34" s="9" t="s">
        <v>129</v>
      </c>
      <c r="D34" s="9" t="s">
        <v>518</v>
      </c>
      <c r="E34" s="9" t="str">
        <f>VLOOKUP(OrderLines!$C34,Products!$A$1:$G$27,5,FALSE)</f>
        <v>EUR 19.99</v>
      </c>
      <c r="F34" s="9" t="s">
        <v>525</v>
      </c>
      <c r="G34" s="9"/>
    </row>
    <row r="35" spans="1:7" x14ac:dyDescent="0.3">
      <c r="A35" s="6" t="s">
        <v>450</v>
      </c>
      <c r="B35" s="7" t="s">
        <v>337</v>
      </c>
      <c r="C35" s="7" t="s">
        <v>142</v>
      </c>
      <c r="D35" s="7" t="s">
        <v>523</v>
      </c>
      <c r="E35" s="7" t="str">
        <f>VLOOKUP(OrderLines!$C35,Products!$A$1:$G$27,5,FALSE)</f>
        <v>USD 129.99</v>
      </c>
      <c r="F35" s="7" t="s">
        <v>526</v>
      </c>
      <c r="G35" s="7" t="s">
        <v>527</v>
      </c>
    </row>
    <row r="36" spans="1:7" x14ac:dyDescent="0.3">
      <c r="A36" s="8" t="s">
        <v>451</v>
      </c>
      <c r="B36" s="9" t="s">
        <v>337</v>
      </c>
      <c r="C36" s="9" t="s">
        <v>133</v>
      </c>
      <c r="D36" s="9" t="s">
        <v>522</v>
      </c>
      <c r="E36" s="9" t="str">
        <f>VLOOKUP(OrderLines!$C36,Products!$A$1:$G$27,5,FALSE)</f>
        <v>USD 25.00</v>
      </c>
      <c r="F36" s="9"/>
      <c r="G36" s="9" t="s">
        <v>527</v>
      </c>
    </row>
    <row r="37" spans="1:7" x14ac:dyDescent="0.3">
      <c r="A37" s="6" t="s">
        <v>452</v>
      </c>
      <c r="B37" s="7" t="s">
        <v>338</v>
      </c>
      <c r="C37" s="7" t="s">
        <v>140</v>
      </c>
      <c r="D37" s="7" t="s">
        <v>521</v>
      </c>
      <c r="E37" s="7" t="str">
        <f>VLOOKUP(OrderLines!$C37,Products!$A$1:$G$27,5,FALSE)</f>
        <v>USD 129.99</v>
      </c>
      <c r="F37" s="7" t="s">
        <v>524</v>
      </c>
      <c r="G37" s="7" t="s">
        <v>527</v>
      </c>
    </row>
    <row r="38" spans="1:7" x14ac:dyDescent="0.3">
      <c r="A38" s="8" t="s">
        <v>453</v>
      </c>
      <c r="B38" s="9" t="s">
        <v>338</v>
      </c>
      <c r="C38" s="9" t="s">
        <v>136</v>
      </c>
      <c r="D38" s="9" t="s">
        <v>519</v>
      </c>
      <c r="E38" s="9" t="str">
        <f>VLOOKUP(OrderLines!$C38,Products!$A$1:$G$27,5,FALSE)</f>
        <v>USD 69.99</v>
      </c>
      <c r="F38" s="9" t="s">
        <v>526</v>
      </c>
      <c r="G38" s="9"/>
    </row>
    <row r="39" spans="1:7" x14ac:dyDescent="0.3">
      <c r="A39" s="6" t="s">
        <v>454</v>
      </c>
      <c r="B39" s="7" t="s">
        <v>339</v>
      </c>
      <c r="C39" s="7" t="s">
        <v>131</v>
      </c>
      <c r="D39" s="7" t="s">
        <v>521</v>
      </c>
      <c r="E39" s="7" t="str">
        <f>VLOOKUP(OrderLines!$C39,Products!$A$1:$G$27,5,FALSE)</f>
        <v>USD 89.00</v>
      </c>
      <c r="F39" s="7" t="s">
        <v>524</v>
      </c>
      <c r="G39" s="7"/>
    </row>
    <row r="40" spans="1:7" x14ac:dyDescent="0.3">
      <c r="A40" s="8" t="s">
        <v>455</v>
      </c>
      <c r="B40" s="9" t="s">
        <v>340</v>
      </c>
      <c r="C40" s="9" t="s">
        <v>128</v>
      </c>
      <c r="D40" s="9" t="s">
        <v>521</v>
      </c>
      <c r="E40" s="9" t="str">
        <f>VLOOKUP(OrderLines!$C40,Products!$A$1:$G$27,5,FALSE)</f>
        <v>USD 79.99</v>
      </c>
      <c r="F40" s="9"/>
      <c r="G40" s="9" t="s">
        <v>527</v>
      </c>
    </row>
    <row r="41" spans="1:7" x14ac:dyDescent="0.3">
      <c r="A41" s="6" t="s">
        <v>456</v>
      </c>
      <c r="B41" s="7" t="s">
        <v>341</v>
      </c>
      <c r="C41" s="7" t="s">
        <v>127</v>
      </c>
      <c r="D41" s="7" t="s">
        <v>522</v>
      </c>
      <c r="E41" s="7" t="str">
        <f>VLOOKUP(OrderLines!$C41,Products!$A$1:$G$27,5,FALSE)</f>
        <v>USD 2499.00</v>
      </c>
      <c r="F41" s="7" t="s">
        <v>526</v>
      </c>
      <c r="G41" s="7"/>
    </row>
    <row r="42" spans="1:7" x14ac:dyDescent="0.3">
      <c r="A42" s="8" t="s">
        <v>457</v>
      </c>
      <c r="B42" s="9" t="s">
        <v>341</v>
      </c>
      <c r="C42" s="9" t="s">
        <v>148</v>
      </c>
      <c r="D42" s="9" t="s">
        <v>523</v>
      </c>
      <c r="E42" s="9" t="str">
        <f>VLOOKUP(OrderLines!$C42,Products!$A$1:$G$27,5,FALSE)</f>
        <v>USD 199.99</v>
      </c>
      <c r="F42" s="9" t="s">
        <v>525</v>
      </c>
      <c r="G42" s="9" t="s">
        <v>527</v>
      </c>
    </row>
    <row r="43" spans="1:7" x14ac:dyDescent="0.3">
      <c r="A43" s="6" t="s">
        <v>458</v>
      </c>
      <c r="B43" s="7" t="s">
        <v>341</v>
      </c>
      <c r="C43" s="7" t="s">
        <v>141</v>
      </c>
      <c r="D43" s="7" t="s">
        <v>521</v>
      </c>
      <c r="E43" s="7" t="str">
        <f>VLOOKUP(OrderLines!$C43,Products!$A$1:$G$27,5,FALSE)</f>
        <v>USD 129.99</v>
      </c>
      <c r="F43" s="7" t="s">
        <v>525</v>
      </c>
      <c r="G43" s="7" t="s">
        <v>527</v>
      </c>
    </row>
    <row r="44" spans="1:7" x14ac:dyDescent="0.3">
      <c r="A44" s="8" t="s">
        <v>459</v>
      </c>
      <c r="B44" s="9" t="s">
        <v>342</v>
      </c>
      <c r="C44" s="9" t="s">
        <v>147</v>
      </c>
      <c r="D44" s="9" t="s">
        <v>523</v>
      </c>
      <c r="E44" s="9" t="str">
        <f>VLOOKUP(OrderLines!$C44,Products!$A$1:$G$27,5,FALSE)</f>
        <v>USD 1899.00</v>
      </c>
      <c r="F44" s="9" t="s">
        <v>526</v>
      </c>
      <c r="G44" s="9" t="s">
        <v>527</v>
      </c>
    </row>
    <row r="45" spans="1:7" x14ac:dyDescent="0.3">
      <c r="A45" s="6" t="s">
        <v>460</v>
      </c>
      <c r="B45" s="7" t="s">
        <v>343</v>
      </c>
      <c r="C45" s="7" t="s">
        <v>131</v>
      </c>
      <c r="D45" s="7" t="s">
        <v>521</v>
      </c>
      <c r="E45" s="7" t="str">
        <f>VLOOKUP(OrderLines!$C45,Products!$A$1:$G$27,5,FALSE)</f>
        <v>USD 89.00</v>
      </c>
      <c r="F45" s="7" t="s">
        <v>525</v>
      </c>
      <c r="G45" s="7" t="s">
        <v>527</v>
      </c>
    </row>
    <row r="46" spans="1:7" x14ac:dyDescent="0.3">
      <c r="A46" s="8" t="s">
        <v>461</v>
      </c>
      <c r="B46" s="9" t="s">
        <v>343</v>
      </c>
      <c r="C46" s="9" t="s">
        <v>141</v>
      </c>
      <c r="D46" s="9" t="s">
        <v>523</v>
      </c>
      <c r="E46" s="9" t="str">
        <f>VLOOKUP(OrderLines!$C46,Products!$A$1:$G$27,5,FALSE)</f>
        <v>USD 129.99</v>
      </c>
      <c r="F46" s="9"/>
      <c r="G46" s="9" t="s">
        <v>528</v>
      </c>
    </row>
    <row r="47" spans="1:7" x14ac:dyDescent="0.3">
      <c r="A47" s="6" t="s">
        <v>462</v>
      </c>
      <c r="B47" s="7" t="s">
        <v>344</v>
      </c>
      <c r="C47" s="7" t="s">
        <v>147</v>
      </c>
      <c r="D47" s="7" t="s">
        <v>518</v>
      </c>
      <c r="E47" s="7" t="str">
        <f>VLOOKUP(OrderLines!$C47,Products!$A$1:$G$27,5,FALSE)</f>
        <v>USD 1899.00</v>
      </c>
      <c r="F47" s="7"/>
      <c r="G47" s="7" t="s">
        <v>528</v>
      </c>
    </row>
    <row r="48" spans="1:7" x14ac:dyDescent="0.3">
      <c r="A48" s="8" t="s">
        <v>463</v>
      </c>
      <c r="B48" s="9" t="s">
        <v>344</v>
      </c>
      <c r="C48" s="9" t="s">
        <v>131</v>
      </c>
      <c r="D48" s="9" t="s">
        <v>522</v>
      </c>
      <c r="E48" s="9" t="str">
        <f>VLOOKUP(OrderLines!$C48,Products!$A$1:$G$27,5,FALSE)</f>
        <v>USD 89.00</v>
      </c>
      <c r="F48" s="9"/>
      <c r="G48" s="9" t="s">
        <v>528</v>
      </c>
    </row>
    <row r="49" spans="1:7" x14ac:dyDescent="0.3">
      <c r="A49" s="6" t="s">
        <v>464</v>
      </c>
      <c r="B49" s="7" t="s">
        <v>344</v>
      </c>
      <c r="C49" s="7" t="s">
        <v>149</v>
      </c>
      <c r="D49" s="7" t="s">
        <v>523</v>
      </c>
      <c r="E49" s="7" t="str">
        <f>VLOOKUP(OrderLines!$C49,Products!$A$1:$G$27,5,FALSE)</f>
        <v>USD 14.99</v>
      </c>
      <c r="F49" s="7" t="s">
        <v>525</v>
      </c>
      <c r="G49" s="7" t="s">
        <v>527</v>
      </c>
    </row>
    <row r="50" spans="1:7" x14ac:dyDescent="0.3">
      <c r="A50" s="8" t="s">
        <v>465</v>
      </c>
      <c r="B50" s="9" t="s">
        <v>345</v>
      </c>
      <c r="C50" s="9" t="s">
        <v>146</v>
      </c>
      <c r="D50" s="9" t="s">
        <v>523</v>
      </c>
      <c r="E50" s="9" t="str">
        <f>VLOOKUP(OrderLines!$C50,Products!$A$1:$G$27,5,FALSE)</f>
        <v>EUR 899.00</v>
      </c>
      <c r="F50" s="9" t="s">
        <v>524</v>
      </c>
      <c r="G50" s="9" t="s">
        <v>527</v>
      </c>
    </row>
    <row r="51" spans="1:7" x14ac:dyDescent="0.3">
      <c r="A51" s="6" t="s">
        <v>466</v>
      </c>
      <c r="B51" s="7" t="s">
        <v>345</v>
      </c>
      <c r="C51" s="7" t="s">
        <v>144</v>
      </c>
      <c r="D51" s="7" t="s">
        <v>521</v>
      </c>
      <c r="E51" s="7" t="str">
        <f>VLOOKUP(OrderLines!$C51,Products!$A$1:$G$27,5,FALSE)</f>
        <v>USD 29.99</v>
      </c>
      <c r="F51" s="7"/>
      <c r="G51" s="7" t="s">
        <v>527</v>
      </c>
    </row>
    <row r="52" spans="1:7" x14ac:dyDescent="0.3">
      <c r="A52" s="8" t="s">
        <v>467</v>
      </c>
      <c r="B52" s="9" t="s">
        <v>346</v>
      </c>
      <c r="C52" s="9" t="s">
        <v>127</v>
      </c>
      <c r="D52" s="9" t="s">
        <v>522</v>
      </c>
      <c r="E52" s="9" t="str">
        <f>VLOOKUP(OrderLines!$C52,Products!$A$1:$G$27,5,FALSE)</f>
        <v>USD 2499.00</v>
      </c>
      <c r="F52" s="9" t="s">
        <v>526</v>
      </c>
      <c r="G52" s="9" t="s">
        <v>528</v>
      </c>
    </row>
    <row r="53" spans="1:7" x14ac:dyDescent="0.3">
      <c r="A53" s="6" t="s">
        <v>468</v>
      </c>
      <c r="B53" s="7" t="s">
        <v>346</v>
      </c>
      <c r="C53" s="7" t="s">
        <v>136</v>
      </c>
      <c r="D53" s="7" t="s">
        <v>519</v>
      </c>
      <c r="E53" s="7" t="str">
        <f>VLOOKUP(OrderLines!$C53,Products!$A$1:$G$27,5,FALSE)</f>
        <v>USD 69.99</v>
      </c>
      <c r="F53" s="7" t="s">
        <v>524</v>
      </c>
      <c r="G53" s="7" t="s">
        <v>528</v>
      </c>
    </row>
    <row r="54" spans="1:7" x14ac:dyDescent="0.3">
      <c r="A54" s="8" t="s">
        <v>469</v>
      </c>
      <c r="B54" s="9" t="s">
        <v>346</v>
      </c>
      <c r="C54" s="9" t="s">
        <v>132</v>
      </c>
      <c r="D54" s="9" t="s">
        <v>522</v>
      </c>
      <c r="E54" s="9" t="str">
        <f>VLOOKUP(OrderLines!$C54,Products!$A$1:$G$27,5,FALSE)</f>
        <v>USD 59.00</v>
      </c>
      <c r="F54" s="9"/>
      <c r="G54" s="9"/>
    </row>
    <row r="55" spans="1:7" x14ac:dyDescent="0.3">
      <c r="A55" s="6" t="s">
        <v>470</v>
      </c>
      <c r="B55" s="7" t="s">
        <v>347</v>
      </c>
      <c r="C55" s="7" t="s">
        <v>149</v>
      </c>
      <c r="D55" s="7" t="s">
        <v>521</v>
      </c>
      <c r="E55" s="7" t="str">
        <f>VLOOKUP(OrderLines!$C55,Products!$A$1:$G$27,5,FALSE)</f>
        <v>USD 14.99</v>
      </c>
      <c r="F55" s="7" t="s">
        <v>525</v>
      </c>
      <c r="G55" s="7" t="s">
        <v>527</v>
      </c>
    </row>
    <row r="56" spans="1:7" x14ac:dyDescent="0.3">
      <c r="A56" s="8" t="s">
        <v>471</v>
      </c>
      <c r="B56" s="9" t="s">
        <v>348</v>
      </c>
      <c r="C56" s="9" t="s">
        <v>127</v>
      </c>
      <c r="D56" s="9" t="s">
        <v>521</v>
      </c>
      <c r="E56" s="9" t="str">
        <f>VLOOKUP(OrderLines!$C56,Products!$A$1:$G$27,5,FALSE)</f>
        <v>USD 2499.00</v>
      </c>
      <c r="F56" s="9" t="s">
        <v>526</v>
      </c>
      <c r="G56" s="9"/>
    </row>
    <row r="57" spans="1:7" x14ac:dyDescent="0.3">
      <c r="A57" s="6" t="s">
        <v>472</v>
      </c>
      <c r="B57" s="7" t="s">
        <v>348</v>
      </c>
      <c r="C57" s="7" t="s">
        <v>136</v>
      </c>
      <c r="D57" s="7" t="s">
        <v>521</v>
      </c>
      <c r="E57" s="7" t="str">
        <f>VLOOKUP(OrderLines!$C57,Products!$A$1:$G$27,5,FALSE)</f>
        <v>USD 69.99</v>
      </c>
      <c r="F57" s="7"/>
      <c r="G57" s="7"/>
    </row>
    <row r="58" spans="1:7" x14ac:dyDescent="0.3">
      <c r="A58" s="8" t="s">
        <v>473</v>
      </c>
      <c r="B58" s="9" t="s">
        <v>348</v>
      </c>
      <c r="C58" s="9" t="s">
        <v>141</v>
      </c>
      <c r="D58" s="9" t="s">
        <v>521</v>
      </c>
      <c r="E58" s="9" t="str">
        <f>VLOOKUP(OrderLines!$C58,Products!$A$1:$G$27,5,FALSE)</f>
        <v>USD 129.99</v>
      </c>
      <c r="F58" s="9" t="s">
        <v>524</v>
      </c>
      <c r="G58" s="9" t="s">
        <v>527</v>
      </c>
    </row>
    <row r="59" spans="1:7" x14ac:dyDescent="0.3">
      <c r="A59" s="6" t="s">
        <v>474</v>
      </c>
      <c r="B59" s="7" t="s">
        <v>349</v>
      </c>
      <c r="C59" s="7" t="s">
        <v>149</v>
      </c>
      <c r="D59" s="7" t="s">
        <v>518</v>
      </c>
      <c r="E59" s="7" t="str">
        <f>VLOOKUP(OrderLines!$C59,Products!$A$1:$G$27,5,FALSE)</f>
        <v>USD 14.99</v>
      </c>
      <c r="F59" s="7" t="s">
        <v>525</v>
      </c>
      <c r="G59" s="7" t="s">
        <v>528</v>
      </c>
    </row>
    <row r="60" spans="1:7" x14ac:dyDescent="0.3">
      <c r="A60" s="8" t="s">
        <v>475</v>
      </c>
      <c r="B60" s="9" t="s">
        <v>350</v>
      </c>
      <c r="C60" s="9" t="s">
        <v>141</v>
      </c>
      <c r="D60" s="9" t="s">
        <v>521</v>
      </c>
      <c r="E60" s="9" t="str">
        <f>VLOOKUP(OrderLines!$C60,Products!$A$1:$G$27,5,FALSE)</f>
        <v>USD 129.99</v>
      </c>
      <c r="F60" s="9" t="s">
        <v>526</v>
      </c>
      <c r="G60" s="9" t="s">
        <v>527</v>
      </c>
    </row>
    <row r="61" spans="1:7" x14ac:dyDescent="0.3">
      <c r="A61" s="6" t="s">
        <v>476</v>
      </c>
      <c r="B61" s="7" t="s">
        <v>350</v>
      </c>
      <c r="C61" s="7" t="s">
        <v>149</v>
      </c>
      <c r="D61" s="7" t="s">
        <v>519</v>
      </c>
      <c r="E61" s="7" t="str">
        <f>VLOOKUP(OrderLines!$C61,Products!$A$1:$G$27,5,FALSE)</f>
        <v>USD 14.99</v>
      </c>
      <c r="F61" s="7"/>
      <c r="G61" s="7"/>
    </row>
    <row r="62" spans="1:7" x14ac:dyDescent="0.3">
      <c r="A62" s="8" t="s">
        <v>477</v>
      </c>
      <c r="B62" s="9" t="s">
        <v>350</v>
      </c>
      <c r="C62" s="9" t="s">
        <v>143</v>
      </c>
      <c r="D62" s="9" t="s">
        <v>523</v>
      </c>
      <c r="E62" s="9" t="str">
        <f>VLOOKUP(OrderLines!$C62,Products!$A$1:$G$27,5,FALSE)</f>
        <v>USD 39.99</v>
      </c>
      <c r="F62" s="9"/>
      <c r="G62" s="9"/>
    </row>
    <row r="63" spans="1:7" x14ac:dyDescent="0.3">
      <c r="A63" s="6" t="s">
        <v>478</v>
      </c>
      <c r="B63" s="7" t="s">
        <v>351</v>
      </c>
      <c r="C63" s="7" t="s">
        <v>129</v>
      </c>
      <c r="D63" s="7" t="s">
        <v>518</v>
      </c>
      <c r="E63" s="7" t="str">
        <f>VLOOKUP(OrderLines!$C63,Products!$A$1:$G$27,5,FALSE)</f>
        <v>EUR 19.99</v>
      </c>
      <c r="F63" s="7" t="s">
        <v>524</v>
      </c>
      <c r="G63" s="7"/>
    </row>
    <row r="64" spans="1:7" x14ac:dyDescent="0.3">
      <c r="A64" s="8" t="s">
        <v>479</v>
      </c>
      <c r="B64" s="9" t="s">
        <v>351</v>
      </c>
      <c r="C64" s="9" t="s">
        <v>142</v>
      </c>
      <c r="D64" s="9" t="s">
        <v>519</v>
      </c>
      <c r="E64" s="9" t="str">
        <f>VLOOKUP(OrderLines!$C64,Products!$A$1:$G$27,5,FALSE)</f>
        <v>USD 129.99</v>
      </c>
      <c r="F64" s="9"/>
      <c r="G64" s="9" t="s">
        <v>528</v>
      </c>
    </row>
    <row r="65" spans="1:7" x14ac:dyDescent="0.3">
      <c r="A65" s="6" t="s">
        <v>480</v>
      </c>
      <c r="B65" s="7" t="s">
        <v>352</v>
      </c>
      <c r="C65" s="7" t="s">
        <v>150</v>
      </c>
      <c r="D65" s="7" t="s">
        <v>519</v>
      </c>
      <c r="E65" s="7" t="str">
        <f>VLOOKUP(OrderLines!$C65,Products!$A$1:$G$27,5,FALSE)</f>
        <v>USD 299.99</v>
      </c>
      <c r="F65" s="7" t="s">
        <v>525</v>
      </c>
      <c r="G65" s="7" t="s">
        <v>527</v>
      </c>
    </row>
    <row r="66" spans="1:7" x14ac:dyDescent="0.3">
      <c r="A66" s="8" t="s">
        <v>481</v>
      </c>
      <c r="B66" s="9" t="s">
        <v>352</v>
      </c>
      <c r="C66" s="9" t="s">
        <v>135</v>
      </c>
      <c r="D66" s="9" t="s">
        <v>518</v>
      </c>
      <c r="E66" s="9" t="str">
        <f>VLOOKUP(OrderLines!$C66,Products!$A$1:$G$27,5,FALSE)</f>
        <v>USD 39.99</v>
      </c>
      <c r="F66" s="9" t="s">
        <v>526</v>
      </c>
      <c r="G66" s="9"/>
    </row>
    <row r="67" spans="1:7" x14ac:dyDescent="0.3">
      <c r="A67" s="6" t="s">
        <v>482</v>
      </c>
      <c r="B67" s="7" t="s">
        <v>352</v>
      </c>
      <c r="C67" s="7" t="s">
        <v>147</v>
      </c>
      <c r="D67" s="7" t="s">
        <v>520</v>
      </c>
      <c r="E67" s="7" t="str">
        <f>VLOOKUP(OrderLines!$C67,Products!$A$1:$G$27,5,FALSE)</f>
        <v>USD 1899.00</v>
      </c>
      <c r="F67" s="7"/>
      <c r="G67" s="7" t="s">
        <v>527</v>
      </c>
    </row>
    <row r="68" spans="1:7" x14ac:dyDescent="0.3">
      <c r="A68" s="8" t="s">
        <v>483</v>
      </c>
      <c r="B68" s="9" t="s">
        <v>353</v>
      </c>
      <c r="C68" s="9" t="s">
        <v>134</v>
      </c>
      <c r="D68" s="9" t="s">
        <v>520</v>
      </c>
      <c r="E68" s="9" t="str">
        <f>VLOOKUP(OrderLines!$C68,Products!$A$1:$G$27,5,FALSE)</f>
        <v>USD 49.99</v>
      </c>
      <c r="F68" s="9" t="s">
        <v>524</v>
      </c>
      <c r="G68" s="9" t="s">
        <v>528</v>
      </c>
    </row>
    <row r="69" spans="1:7" x14ac:dyDescent="0.3">
      <c r="A69" s="6" t="s">
        <v>484</v>
      </c>
      <c r="B69" s="7" t="s">
        <v>354</v>
      </c>
      <c r="C69" s="7" t="s">
        <v>130</v>
      </c>
      <c r="D69" s="7" t="s">
        <v>520</v>
      </c>
      <c r="E69" s="7" t="str">
        <f>VLOOKUP(OrderLines!$C69,Products!$A$1:$G$27,5,FALSE)</f>
        <v>USD 34.50</v>
      </c>
      <c r="F69" s="7" t="s">
        <v>524</v>
      </c>
      <c r="G69" s="7" t="s">
        <v>528</v>
      </c>
    </row>
    <row r="70" spans="1:7" x14ac:dyDescent="0.3">
      <c r="A70" s="8" t="s">
        <v>485</v>
      </c>
      <c r="B70" s="9" t="s">
        <v>354</v>
      </c>
      <c r="C70" s="9" t="s">
        <v>127</v>
      </c>
      <c r="D70" s="9" t="s">
        <v>518</v>
      </c>
      <c r="E70" s="9" t="str">
        <f>VLOOKUP(OrderLines!$C70,Products!$A$1:$G$27,5,FALSE)</f>
        <v>USD 2499.00</v>
      </c>
      <c r="F70" s="9" t="s">
        <v>524</v>
      </c>
      <c r="G70" s="9" t="s">
        <v>527</v>
      </c>
    </row>
    <row r="71" spans="1:7" x14ac:dyDescent="0.3">
      <c r="A71" s="6" t="s">
        <v>486</v>
      </c>
      <c r="B71" s="7" t="s">
        <v>354</v>
      </c>
      <c r="C71" s="7" t="s">
        <v>149</v>
      </c>
      <c r="D71" s="7" t="s">
        <v>520</v>
      </c>
      <c r="E71" s="7" t="str">
        <f>VLOOKUP(OrderLines!$C71,Products!$A$1:$G$27,5,FALSE)</f>
        <v>USD 14.99</v>
      </c>
      <c r="F71" s="7" t="s">
        <v>525</v>
      </c>
      <c r="G71" s="7" t="s">
        <v>527</v>
      </c>
    </row>
    <row r="72" spans="1:7" x14ac:dyDescent="0.3">
      <c r="A72" s="8" t="s">
        <v>487</v>
      </c>
      <c r="B72" s="9" t="s">
        <v>355</v>
      </c>
      <c r="C72" s="9" t="s">
        <v>143</v>
      </c>
      <c r="D72" s="9" t="s">
        <v>521</v>
      </c>
      <c r="E72" s="9" t="str">
        <f>VLOOKUP(OrderLines!$C72,Products!$A$1:$G$27,5,FALSE)</f>
        <v>USD 39.99</v>
      </c>
      <c r="F72" s="9" t="s">
        <v>526</v>
      </c>
      <c r="G72" s="9" t="s">
        <v>528</v>
      </c>
    </row>
    <row r="73" spans="1:7" x14ac:dyDescent="0.3">
      <c r="A73" s="6" t="s">
        <v>488</v>
      </c>
      <c r="B73" s="7" t="s">
        <v>355</v>
      </c>
      <c r="C73" s="7" t="s">
        <v>136</v>
      </c>
      <c r="D73" s="7" t="s">
        <v>522</v>
      </c>
      <c r="E73" s="7" t="str">
        <f>VLOOKUP(OrderLines!$C73,Products!$A$1:$G$27,5,FALSE)</f>
        <v>USD 69.99</v>
      </c>
      <c r="F73" s="7" t="s">
        <v>525</v>
      </c>
      <c r="G73" s="7" t="s">
        <v>528</v>
      </c>
    </row>
    <row r="74" spans="1:7" x14ac:dyDescent="0.3">
      <c r="A74" s="8" t="s">
        <v>489</v>
      </c>
      <c r="B74" s="9" t="s">
        <v>356</v>
      </c>
      <c r="C74" s="9" t="s">
        <v>138</v>
      </c>
      <c r="D74" s="9" t="s">
        <v>523</v>
      </c>
      <c r="E74" s="9" t="str">
        <f>VLOOKUP(OrderLines!$C74,Products!$A$1:$G$27,5,FALSE)</f>
        <v>USD 59.99</v>
      </c>
      <c r="F74" s="9" t="s">
        <v>526</v>
      </c>
      <c r="G74" s="9" t="s">
        <v>527</v>
      </c>
    </row>
    <row r="75" spans="1:7" x14ac:dyDescent="0.3">
      <c r="A75" s="6" t="s">
        <v>490</v>
      </c>
      <c r="B75" s="7" t="s">
        <v>356</v>
      </c>
      <c r="C75" s="7" t="s">
        <v>145</v>
      </c>
      <c r="D75" s="7" t="s">
        <v>521</v>
      </c>
      <c r="E75" s="7" t="str">
        <f>VLOOKUP(OrderLines!$C75,Products!$A$1:$G$27,5,FALSE)</f>
        <v>USD 9.99</v>
      </c>
      <c r="F75" s="7"/>
      <c r="G75" s="7"/>
    </row>
    <row r="76" spans="1:7" x14ac:dyDescent="0.3">
      <c r="A76" s="8" t="s">
        <v>491</v>
      </c>
      <c r="B76" s="9" t="s">
        <v>356</v>
      </c>
      <c r="C76" s="9" t="s">
        <v>151</v>
      </c>
      <c r="D76" s="9" t="s">
        <v>518</v>
      </c>
      <c r="E76" s="9" t="str">
        <f>VLOOKUP(OrderLines!$C76,Products!$A$1:$G$27,5,FALSE)</f>
        <v>USD 199.99</v>
      </c>
      <c r="F76" s="9" t="s">
        <v>526</v>
      </c>
      <c r="G76" s="9" t="s">
        <v>528</v>
      </c>
    </row>
    <row r="77" spans="1:7" x14ac:dyDescent="0.3">
      <c r="A77" s="6" t="s">
        <v>492</v>
      </c>
      <c r="B77" s="7" t="s">
        <v>357</v>
      </c>
      <c r="C77" s="7" t="s">
        <v>129</v>
      </c>
      <c r="D77" s="7" t="s">
        <v>521</v>
      </c>
      <c r="E77" s="7" t="str">
        <f>VLOOKUP(OrderLines!$C77,Products!$A$1:$G$27,5,FALSE)</f>
        <v>EUR 19.99</v>
      </c>
      <c r="F77" s="7" t="s">
        <v>524</v>
      </c>
      <c r="G77" s="7" t="s">
        <v>527</v>
      </c>
    </row>
    <row r="78" spans="1:7" x14ac:dyDescent="0.3">
      <c r="A78" s="8" t="s">
        <v>493</v>
      </c>
      <c r="B78" s="9" t="s">
        <v>358</v>
      </c>
      <c r="C78" s="9" t="s">
        <v>145</v>
      </c>
      <c r="D78" s="9" t="s">
        <v>522</v>
      </c>
      <c r="E78" s="9" t="str">
        <f>VLOOKUP(OrderLines!$C78,Products!$A$1:$G$27,5,FALSE)</f>
        <v>USD 9.99</v>
      </c>
      <c r="F78" s="9" t="s">
        <v>525</v>
      </c>
      <c r="G78" s="9"/>
    </row>
    <row r="79" spans="1:7" x14ac:dyDescent="0.3">
      <c r="A79" s="6" t="s">
        <v>494</v>
      </c>
      <c r="B79" s="7" t="s">
        <v>359</v>
      </c>
      <c r="C79" s="7" t="s">
        <v>131</v>
      </c>
      <c r="D79" s="7" t="s">
        <v>522</v>
      </c>
      <c r="E79" s="7" t="str">
        <f>VLOOKUP(OrderLines!$C79,Products!$A$1:$G$27,5,FALSE)</f>
        <v>USD 89.00</v>
      </c>
      <c r="F79" s="7" t="s">
        <v>526</v>
      </c>
      <c r="G79" s="7" t="s">
        <v>527</v>
      </c>
    </row>
    <row r="80" spans="1:7" x14ac:dyDescent="0.3">
      <c r="A80" s="8" t="s">
        <v>495</v>
      </c>
      <c r="B80" s="9" t="s">
        <v>359</v>
      </c>
      <c r="C80" s="9" t="s">
        <v>145</v>
      </c>
      <c r="D80" s="9" t="s">
        <v>520</v>
      </c>
      <c r="E80" s="9" t="str">
        <f>VLOOKUP(OrderLines!$C80,Products!$A$1:$G$27,5,FALSE)</f>
        <v>USD 9.99</v>
      </c>
      <c r="F80" s="9" t="s">
        <v>524</v>
      </c>
      <c r="G80" s="9" t="s">
        <v>528</v>
      </c>
    </row>
    <row r="81" spans="1:7" x14ac:dyDescent="0.3">
      <c r="A81" s="6" t="s">
        <v>496</v>
      </c>
      <c r="B81" s="7" t="s">
        <v>359</v>
      </c>
      <c r="C81" s="7" t="s">
        <v>134</v>
      </c>
      <c r="D81" s="7" t="s">
        <v>518</v>
      </c>
      <c r="E81" s="7" t="str">
        <f>VLOOKUP(OrderLines!$C81,Products!$A$1:$G$27,5,FALSE)</f>
        <v>USD 49.99</v>
      </c>
      <c r="F81" s="7"/>
      <c r="G81" s="7"/>
    </row>
    <row r="82" spans="1:7" x14ac:dyDescent="0.3">
      <c r="A82" s="8" t="s">
        <v>497</v>
      </c>
      <c r="B82" s="9" t="s">
        <v>360</v>
      </c>
      <c r="C82" s="9" t="s">
        <v>129</v>
      </c>
      <c r="D82" s="9" t="s">
        <v>520</v>
      </c>
      <c r="E82" s="9" t="str">
        <f>VLOOKUP(OrderLines!$C82,Products!$A$1:$G$27,5,FALSE)</f>
        <v>EUR 19.99</v>
      </c>
      <c r="F82" s="9" t="s">
        <v>524</v>
      </c>
      <c r="G82" s="9" t="s">
        <v>528</v>
      </c>
    </row>
    <row r="83" spans="1:7" x14ac:dyDescent="0.3">
      <c r="A83" s="6" t="s">
        <v>498</v>
      </c>
      <c r="B83" s="7" t="s">
        <v>360</v>
      </c>
      <c r="C83" s="7" t="s">
        <v>143</v>
      </c>
      <c r="D83" s="7" t="s">
        <v>519</v>
      </c>
      <c r="E83" s="7" t="str">
        <f>VLOOKUP(OrderLines!$C83,Products!$A$1:$G$27,5,FALSE)</f>
        <v>USD 39.99</v>
      </c>
      <c r="F83" s="7" t="s">
        <v>524</v>
      </c>
      <c r="G83" s="7" t="s">
        <v>528</v>
      </c>
    </row>
    <row r="84" spans="1:7" x14ac:dyDescent="0.3">
      <c r="A84" s="8" t="s">
        <v>499</v>
      </c>
      <c r="B84" s="9" t="s">
        <v>360</v>
      </c>
      <c r="C84" s="9" t="s">
        <v>145</v>
      </c>
      <c r="D84" s="9" t="s">
        <v>520</v>
      </c>
      <c r="E84" s="9" t="str">
        <f>VLOOKUP(OrderLines!$C84,Products!$A$1:$G$27,5,FALSE)</f>
        <v>USD 9.99</v>
      </c>
      <c r="F84" s="9"/>
      <c r="G84" s="9"/>
    </row>
    <row r="85" spans="1:7" x14ac:dyDescent="0.3">
      <c r="A85" s="6" t="s">
        <v>500</v>
      </c>
      <c r="B85" s="7" t="s">
        <v>361</v>
      </c>
      <c r="C85" s="7" t="s">
        <v>132</v>
      </c>
      <c r="D85" s="7" t="s">
        <v>518</v>
      </c>
      <c r="E85" s="7" t="str">
        <f>VLOOKUP(OrderLines!$C85,Products!$A$1:$G$27,5,FALSE)</f>
        <v>USD 59.00</v>
      </c>
      <c r="F85" s="7" t="s">
        <v>526</v>
      </c>
      <c r="G85" s="7" t="s">
        <v>528</v>
      </c>
    </row>
    <row r="86" spans="1:7" x14ac:dyDescent="0.3">
      <c r="A86" s="8" t="s">
        <v>501</v>
      </c>
      <c r="B86" s="9" t="s">
        <v>361</v>
      </c>
      <c r="C86" s="9" t="s">
        <v>134</v>
      </c>
      <c r="D86" s="9" t="s">
        <v>520</v>
      </c>
      <c r="E86" s="9" t="str">
        <f>VLOOKUP(OrderLines!$C86,Products!$A$1:$G$27,5,FALSE)</f>
        <v>USD 49.99</v>
      </c>
      <c r="F86" s="9"/>
      <c r="G86" s="9" t="s">
        <v>527</v>
      </c>
    </row>
    <row r="87" spans="1:7" x14ac:dyDescent="0.3">
      <c r="A87" s="6" t="s">
        <v>502</v>
      </c>
      <c r="B87" s="7" t="s">
        <v>362</v>
      </c>
      <c r="C87" s="7" t="s">
        <v>136</v>
      </c>
      <c r="D87" s="7" t="s">
        <v>523</v>
      </c>
      <c r="E87" s="7" t="str">
        <f>VLOOKUP(OrderLines!$C87,Products!$A$1:$G$27,5,FALSE)</f>
        <v>USD 69.99</v>
      </c>
      <c r="F87" s="7"/>
      <c r="G87" s="7"/>
    </row>
    <row r="88" spans="1:7" x14ac:dyDescent="0.3">
      <c r="A88" s="8" t="s">
        <v>503</v>
      </c>
      <c r="B88" s="9" t="s">
        <v>362</v>
      </c>
      <c r="C88" s="9" t="s">
        <v>147</v>
      </c>
      <c r="D88" s="9" t="s">
        <v>519</v>
      </c>
      <c r="E88" s="9" t="str">
        <f>VLOOKUP(OrderLines!$C88,Products!$A$1:$G$27,5,FALSE)</f>
        <v>USD 1899.00</v>
      </c>
      <c r="F88" s="9"/>
      <c r="G88" s="9" t="s">
        <v>528</v>
      </c>
    </row>
    <row r="89" spans="1:7" x14ac:dyDescent="0.3">
      <c r="A89" s="6" t="s">
        <v>504</v>
      </c>
      <c r="B89" s="7" t="s">
        <v>362</v>
      </c>
      <c r="C89" s="7" t="s">
        <v>131</v>
      </c>
      <c r="D89" s="7" t="s">
        <v>522</v>
      </c>
      <c r="E89" s="7" t="str">
        <f>VLOOKUP(OrderLines!$C89,Products!$A$1:$G$27,5,FALSE)</f>
        <v>USD 89.00</v>
      </c>
      <c r="F89" s="7"/>
      <c r="G89" s="7" t="s">
        <v>527</v>
      </c>
    </row>
    <row r="90" spans="1:7" x14ac:dyDescent="0.3">
      <c r="A90" s="8" t="s">
        <v>505</v>
      </c>
      <c r="B90" s="9" t="s">
        <v>363</v>
      </c>
      <c r="C90" s="9" t="s">
        <v>135</v>
      </c>
      <c r="D90" s="9" t="s">
        <v>518</v>
      </c>
      <c r="E90" s="9" t="str">
        <f>VLOOKUP(OrderLines!$C90,Products!$A$1:$G$27,5,FALSE)</f>
        <v>USD 39.99</v>
      </c>
      <c r="F90" s="9"/>
      <c r="G90" s="9"/>
    </row>
    <row r="91" spans="1:7" x14ac:dyDescent="0.3">
      <c r="A91" s="6" t="s">
        <v>506</v>
      </c>
      <c r="B91" s="7" t="s">
        <v>363</v>
      </c>
      <c r="C91" s="7" t="s">
        <v>144</v>
      </c>
      <c r="D91" s="7" t="s">
        <v>522</v>
      </c>
      <c r="E91" s="7" t="str">
        <f>VLOOKUP(OrderLines!$C91,Products!$A$1:$G$27,5,FALSE)</f>
        <v>USD 29.99</v>
      </c>
      <c r="F91" s="7"/>
      <c r="G91" s="7" t="s">
        <v>527</v>
      </c>
    </row>
    <row r="92" spans="1:7" x14ac:dyDescent="0.3">
      <c r="A92" s="8" t="s">
        <v>507</v>
      </c>
      <c r="B92" s="9" t="s">
        <v>363</v>
      </c>
      <c r="C92" s="9" t="s">
        <v>128</v>
      </c>
      <c r="D92" s="9" t="s">
        <v>523</v>
      </c>
      <c r="E92" s="9" t="str">
        <f>VLOOKUP(OrderLines!$C92,Products!$A$1:$G$27,5,FALSE)</f>
        <v>USD 79.99</v>
      </c>
      <c r="F92" s="9"/>
      <c r="G92" s="9"/>
    </row>
    <row r="93" spans="1:7" x14ac:dyDescent="0.3">
      <c r="A93" s="6" t="s">
        <v>508</v>
      </c>
      <c r="B93" s="7" t="s">
        <v>364</v>
      </c>
      <c r="C93" s="7" t="s">
        <v>129</v>
      </c>
      <c r="D93" s="7" t="s">
        <v>522</v>
      </c>
      <c r="E93" s="7" t="str">
        <f>VLOOKUP(OrderLines!$C93,Products!$A$1:$G$27,5,FALSE)</f>
        <v>EUR 19.99</v>
      </c>
      <c r="F93" s="7"/>
      <c r="G93" s="7" t="s">
        <v>528</v>
      </c>
    </row>
    <row r="94" spans="1:7" x14ac:dyDescent="0.3">
      <c r="A94" s="8" t="s">
        <v>509</v>
      </c>
      <c r="B94" s="9" t="s">
        <v>365</v>
      </c>
      <c r="C94" s="9" t="s">
        <v>149</v>
      </c>
      <c r="D94" s="9" t="s">
        <v>519</v>
      </c>
      <c r="E94" s="9" t="str">
        <f>VLOOKUP(OrderLines!$C94,Products!$A$1:$G$27,5,FALSE)</f>
        <v>USD 14.99</v>
      </c>
      <c r="F94" s="9" t="s">
        <v>525</v>
      </c>
      <c r="G94" s="9" t="s">
        <v>527</v>
      </c>
    </row>
    <row r="95" spans="1:7" x14ac:dyDescent="0.3">
      <c r="A95" s="6" t="s">
        <v>510</v>
      </c>
      <c r="B95" s="7" t="s">
        <v>365</v>
      </c>
      <c r="C95" s="7" t="s">
        <v>133</v>
      </c>
      <c r="D95" s="7" t="s">
        <v>518</v>
      </c>
      <c r="E95" s="7" t="str">
        <f>VLOOKUP(OrderLines!$C95,Products!$A$1:$G$27,5,FALSE)</f>
        <v>USD 25.00</v>
      </c>
      <c r="F95" s="7"/>
      <c r="G95" s="7" t="s">
        <v>528</v>
      </c>
    </row>
    <row r="96" spans="1:7" x14ac:dyDescent="0.3">
      <c r="A96" s="8" t="s">
        <v>511</v>
      </c>
      <c r="B96" s="9" t="s">
        <v>365</v>
      </c>
      <c r="C96" s="9" t="s">
        <v>126</v>
      </c>
      <c r="D96" s="9" t="s">
        <v>518</v>
      </c>
      <c r="E96" s="9" t="str">
        <f>VLOOKUP(OrderLines!$C96,Products!$A$1:$G$27,5,FALSE)</f>
        <v>USD 1999.00</v>
      </c>
      <c r="F96" s="9"/>
      <c r="G96" s="9" t="s">
        <v>527</v>
      </c>
    </row>
    <row r="97" spans="1:7" x14ac:dyDescent="0.3">
      <c r="A97" s="6" t="s">
        <v>512</v>
      </c>
      <c r="B97" s="7" t="s">
        <v>366</v>
      </c>
      <c r="C97" s="7" t="s">
        <v>128</v>
      </c>
      <c r="D97" s="7" t="s">
        <v>519</v>
      </c>
      <c r="E97" s="7" t="str">
        <f>VLOOKUP(OrderLines!$C97,Products!$A$1:$G$27,5,FALSE)</f>
        <v>USD 79.99</v>
      </c>
      <c r="F97" s="7" t="s">
        <v>524</v>
      </c>
      <c r="G97" s="7" t="s">
        <v>528</v>
      </c>
    </row>
    <row r="98" spans="1:7" x14ac:dyDescent="0.3">
      <c r="A98" s="8" t="s">
        <v>513</v>
      </c>
      <c r="B98" s="9" t="s">
        <v>367</v>
      </c>
      <c r="C98" s="9" t="s">
        <v>126</v>
      </c>
      <c r="D98" s="9" t="s">
        <v>522</v>
      </c>
      <c r="E98" s="9" t="str">
        <f>VLOOKUP(OrderLines!$C98,Products!$A$1:$G$27,5,FALSE)</f>
        <v>USD 1999.00</v>
      </c>
      <c r="F98" s="9"/>
      <c r="G98" s="9" t="s">
        <v>528</v>
      </c>
    </row>
    <row r="99" spans="1:7" x14ac:dyDescent="0.3">
      <c r="A99" s="6" t="s">
        <v>514</v>
      </c>
      <c r="B99" s="7" t="s">
        <v>367</v>
      </c>
      <c r="C99" s="7" t="s">
        <v>144</v>
      </c>
      <c r="D99" s="7" t="s">
        <v>521</v>
      </c>
      <c r="E99" s="7" t="str">
        <f>VLOOKUP(OrderLines!$C99,Products!$A$1:$G$27,5,FALSE)</f>
        <v>USD 29.99</v>
      </c>
      <c r="F99" s="7" t="s">
        <v>526</v>
      </c>
      <c r="G99" s="7" t="s">
        <v>527</v>
      </c>
    </row>
    <row r="100" spans="1:7" x14ac:dyDescent="0.3">
      <c r="A100" s="8" t="s">
        <v>515</v>
      </c>
      <c r="B100" s="9" t="s">
        <v>368</v>
      </c>
      <c r="C100" s="9" t="s">
        <v>131</v>
      </c>
      <c r="D100" s="9" t="s">
        <v>520</v>
      </c>
      <c r="E100" s="9" t="str">
        <f>VLOOKUP(OrderLines!$C100,Products!$A$1:$G$27,5,FALSE)</f>
        <v>USD 89.00</v>
      </c>
      <c r="F100" s="9" t="s">
        <v>524</v>
      </c>
      <c r="G100" s="9"/>
    </row>
    <row r="101" spans="1:7" x14ac:dyDescent="0.3">
      <c r="A101" s="6" t="s">
        <v>516</v>
      </c>
      <c r="B101" s="7" t="s">
        <v>369</v>
      </c>
      <c r="C101" s="7" t="s">
        <v>149</v>
      </c>
      <c r="D101" s="7" t="s">
        <v>522</v>
      </c>
      <c r="E101" s="7" t="str">
        <f>VLOOKUP(OrderLines!$C101,Products!$A$1:$G$27,5,FALSE)</f>
        <v>USD 14.99</v>
      </c>
      <c r="F101" s="7"/>
      <c r="G101" s="7"/>
    </row>
    <row r="102" spans="1:7" x14ac:dyDescent="0.3">
      <c r="A102" s="8" t="s">
        <v>517</v>
      </c>
      <c r="B102" s="9" t="s">
        <v>369</v>
      </c>
      <c r="C102" s="9" t="s">
        <v>127</v>
      </c>
      <c r="D102" s="9" t="s">
        <v>519</v>
      </c>
      <c r="E102" s="9" t="str">
        <f>VLOOKUP(OrderLines!$C102,Products!$A$1:$G$27,5,FALSE)</f>
        <v>USD 2499.00</v>
      </c>
      <c r="F102" s="9" t="s">
        <v>524</v>
      </c>
      <c r="G102" s="9" t="s">
        <v>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Customers</vt:lpstr>
      <vt:lpstr>Products</vt:lpstr>
      <vt:lpstr>Exchange Rates</vt:lpstr>
      <vt:lpstr>Stores</vt:lpstr>
      <vt:lpstr>Orders</vt:lpstr>
      <vt:lpstr>OrderLines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Excelr Edtech</cp:lastModifiedBy>
  <dcterms:created xsi:type="dcterms:W3CDTF">2025-08-25T16:53:19Z</dcterms:created>
  <dcterms:modified xsi:type="dcterms:W3CDTF">2025-08-27T13:30:18Z</dcterms:modified>
</cp:coreProperties>
</file>